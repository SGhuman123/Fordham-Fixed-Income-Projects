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Inputs" sheetId="1" state="visible" r:id="rId3"/>
    <sheet name="Calculations" sheetId="2" state="visible" r:id="rId4"/>
    <sheet name="Table II" sheetId="3" state="visible" r:id="rId5"/>
    <sheet name="Mispricing" sheetId="4" state="visible" r:id="rId6"/>
    <sheet name="Correction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<sst xmlns="http://schemas.openxmlformats.org/spreadsheetml/2006/main" count="156" uniqueCount="133">
  <si>
    <t xml:space="preserve">INPUTS — All hardcoded values (blue). Formulas reference these cells.</t>
  </si>
  <si>
    <t xml:space="preserve">Blue = hardcoded input  |  Black = formula  |  Source: Bloomberg Terminal, 3/20/2026</t>
  </si>
  <si>
    <t xml:space="preserve">Treasury Bond</t>
  </si>
  <si>
    <t xml:space="preserve">Value</t>
  </si>
  <si>
    <t xml:space="preserve">TIPS</t>
  </si>
  <si>
    <t xml:space="preserve">Price build-up (per $100)</t>
  </si>
  <si>
    <t xml:space="preserve">Note</t>
  </si>
  <si>
    <t xml:space="preserve">Full Price P</t>
  </si>
  <si>
    <t xml:space="preserve">Full Price V</t>
  </si>
  <si>
    <t xml:space="preserve">Treasury clean price (96-19+)</t>
  </si>
  <si>
    <t xml:space="preserve">Bloomberg ask, quoted in 32nds</t>
  </si>
  <si>
    <t xml:space="preserve">Semiannual Coupon c</t>
  </si>
  <si>
    <t xml:space="preserve">Semiannual Coupon s</t>
  </si>
  <si>
    <t xml:space="preserve">Treasury accrued (33 of 181 days)</t>
  </si>
  <si>
    <t xml:space="preserve">Act/Act: 2/15/2026 to 3/20/2026</t>
  </si>
  <si>
    <t xml:space="preserve">Settlement Date</t>
  </si>
  <si>
    <t xml:space="preserve">3/20/2026</t>
  </si>
  <si>
    <t xml:space="preserve">TIPS clean real price (97-15 1/4)</t>
  </si>
  <si>
    <t xml:space="preserve">Bloomberg ask, quoted in 32nds (real, unindexed)</t>
  </si>
  <si>
    <t xml:space="preserve">Maturity Date</t>
  </si>
  <si>
    <t xml:space="preserve">2/15/2033</t>
  </si>
  <si>
    <t xml:space="preserve">1/15/2033</t>
  </si>
  <si>
    <t xml:space="preserve">TIPS real accrued (64 of 181 days)</t>
  </si>
  <si>
    <t xml:space="preserve">Act/Act: 1/15/2026 to 3/20/2026. As submitted: 0.261864 (not consistent with 64 days)</t>
  </si>
  <si>
    <t xml:space="preserve">Annual Coupon</t>
  </si>
  <si>
    <t xml:space="preserve">3.500%</t>
  </si>
  <si>
    <t xml:space="preserve">1.125%</t>
  </si>
  <si>
    <t xml:space="preserve">Period (yrs)</t>
  </si>
  <si>
    <t xml:space="preserve">Source quote(s)</t>
  </si>
  <si>
    <t xml:space="preserve">Method</t>
  </si>
  <si>
    <t xml:space="preserve">Interpolated Rate (%)</t>
  </si>
  <si>
    <t xml:space="preserve">Tenor (yrs)</t>
  </si>
  <si>
    <t xml:space="preserve">Ticker</t>
  </si>
  <si>
    <t xml:space="preserve">Market Rate (%)</t>
  </si>
  <si>
    <t xml:space="preserve">USSWIT1</t>
  </si>
  <si>
    <t xml:space="preserve">Flat extrapolation from 1Y</t>
  </si>
  <si>
    <t xml:space="preserve">Market quote</t>
  </si>
  <si>
    <t xml:space="preserve">USSWIT2</t>
  </si>
  <si>
    <t xml:space="preserve">USSWIT1/2</t>
  </si>
  <si>
    <t xml:space="preserve">Linear interp 1Y-2Y</t>
  </si>
  <si>
    <t xml:space="preserve">USSWIT3</t>
  </si>
  <si>
    <t xml:space="preserve">USSWIT4</t>
  </si>
  <si>
    <t xml:space="preserve">USSWIT2/3</t>
  </si>
  <si>
    <t xml:space="preserve">Linear interp 2Y-3Y</t>
  </si>
  <si>
    <t xml:space="preserve">USSWIT5</t>
  </si>
  <si>
    <t xml:space="preserve">USSWIT6</t>
  </si>
  <si>
    <t xml:space="preserve">USSWIT3/4</t>
  </si>
  <si>
    <t xml:space="preserve">Linear interp 3Y-4Y</t>
  </si>
  <si>
    <t xml:space="preserve">USSWIT7</t>
  </si>
  <si>
    <t xml:space="preserve">USSWIT4/5</t>
  </si>
  <si>
    <t xml:space="preserve">Linear interp 4Y-5Y</t>
  </si>
  <si>
    <t xml:space="preserve">USSWIT5/6</t>
  </si>
  <si>
    <t xml:space="preserve">Linear interp 5Y-6Y</t>
  </si>
  <si>
    <t xml:space="preserve">USSWIT6/7</t>
  </si>
  <si>
    <t xml:space="preserve">Linear interp 6Y-7Y</t>
  </si>
  <si>
    <t xml:space="preserve">Period #</t>
  </si>
  <si>
    <t xml:space="preserve">Coupon Date</t>
  </si>
  <si>
    <t xml:space="preserve">STRIPS Price D(t)</t>
  </si>
  <si>
    <t xml:space="preserve">Years t</t>
  </si>
  <si>
    <t xml:space="preserve">8/15/2026</t>
  </si>
  <si>
    <t xml:space="preserve">2/15/2027</t>
  </si>
  <si>
    <t xml:space="preserve">8/15/2027</t>
  </si>
  <si>
    <t xml:space="preserve">2/15/2028</t>
  </si>
  <si>
    <t xml:space="preserve">8/15/2028</t>
  </si>
  <si>
    <t xml:space="preserve">2/15/2029</t>
  </si>
  <si>
    <t xml:space="preserve">8/15/2029</t>
  </si>
  <si>
    <t xml:space="preserve">2/15/2030</t>
  </si>
  <si>
    <t xml:space="preserve">8/15/2030</t>
  </si>
  <si>
    <t xml:space="preserve">2/15/2031</t>
  </si>
  <si>
    <t xml:space="preserve">8/15/2031</t>
  </si>
  <si>
    <t xml:space="preserve">2/15/2032</t>
  </si>
  <si>
    <t xml:space="preserve">8/15/2032</t>
  </si>
  <si>
    <t xml:space="preserve">CALCULATIONS — All values driven by formulas referencing Inputs sheet</t>
  </si>
  <si>
    <t xml:space="preserve">Black = formula  |  Double-click any cell to see the formula  |  All references → Inputs sheet</t>
  </si>
  <si>
    <t xml:space="preserve">#</t>
  </si>
  <si>
    <t xml:space="preserve">Date</t>
  </si>
  <si>
    <t xml:space="preserve">Swap Rate
f_t (%)</t>
  </si>
  <si>
    <t xml:space="preserve">F_t=(1+f_t)^t</t>
  </si>
  <si>
    <t xml:space="preserve">x_t
(STRIPS notional)</t>
  </si>
  <si>
    <t xml:space="preserve">D(t)
(STRIPS price)</t>
  </si>
  <si>
    <t xml:space="preserve">STRIPS Cost
x_t×D(t)/100</t>
  </si>
  <si>
    <t xml:space="preserve">TOTAL</t>
  </si>
  <si>
    <t xml:space="preserve">Table II — Synthetic Treasury Bond Replicating Strategy  |  T 3.500 2/15/2033  vs  TII 1.125 1/15/2033</t>
  </si>
  <si>
    <t xml:space="preserve">Settlement: 3/20/2026  |  All cash flows per $100 notional  |  Iₜ = inflation index ratio (variable — cancels in Total column)</t>
  </si>
  <si>
    <t xml:space="preserve">Treasury
Cash Flow</t>
  </si>
  <si>
    <t xml:space="preserve">TIPS
Cash Flow</t>
  </si>
  <si>
    <t xml:space="preserve">Inflation Swap
Cash Flow</t>
  </si>
  <si>
    <t xml:space="preserve">STRIPS
Cash Flow</t>
  </si>
  <si>
    <t xml:space="preserve">STRIPS
Price D(t)</t>
  </si>
  <si>
    <t xml:space="preserve">Total
Cash Flow</t>
  </si>
  <si>
    <t xml:space="preserve">—</t>
  </si>
  <si>
    <t xml:space="preserve">Mispricing Summary</t>
  </si>
  <si>
    <t xml:space="preserve">Item</t>
  </si>
  <si>
    <t xml:space="preserve">Value (per $100)</t>
  </si>
  <si>
    <t xml:space="preserve">Formula / Note</t>
  </si>
  <si>
    <t xml:space="preserve">Treasury Bond Full Price  (P)</t>
  </si>
  <si>
    <t xml:space="preserve">Clean price + accrued (Inputs!G5:H6)</t>
  </si>
  <si>
    <t xml:space="preserve">TIPS Full Price  (V)</t>
  </si>
  <si>
    <t xml:space="preserve">Real clean price + real accrued (Inputs!G7:H8)</t>
  </si>
  <si>
    <t xml:space="preserve">Total STRIPS Cost  Σ xₜ·D(t)/100</t>
  </si>
  <si>
    <t xml:space="preserve">SUM of all 14 STRIPS positions x price/100</t>
  </si>
  <si>
    <t xml:space="preserve">Synthetic Price  =  V + STRIPS Cost</t>
  </si>
  <si>
    <t xml:space="preserve">Cost of replicating portfolio</t>
  </si>
  <si>
    <t xml:space="preserve">Mispricing  =  P − Synthetic</t>
  </si>
  <si>
    <t xml:space="preserve">Positive → Treasury expensive; Negative → TIPS expensive</t>
  </si>
  <si>
    <t xml:space="preserve">Interpretation</t>
  </si>
  <si>
    <t xml:space="preserve">Consistent with post-2009 narrowing of TIPS-Treasury arbitrage</t>
  </si>
  <si>
    <t xml:space="preserve">What the Mispricing Means</t>
  </si>
  <si>
    <t xml:space="preserve">A negative mispricing means the synthetic replicating portfolio (TIPS + inflation swaps + STRIPS) costs MORE than the actual Treasury bond, i.e. TIPS are relatively expensive compared to nominal Treasuries. This is the opposite sign to Fleckenstein, Longstaff and Lustig (2004-2009 sample), and the roughly $0.97 gap is far smaller than the $23.10 in the paper's Table II example (December 30, 2008).</t>
  </si>
  <si>
    <t xml:space="preserve">Location</t>
  </si>
  <si>
    <t xml:space="preserve">As submitted</t>
  </si>
  <si>
    <t xml:space="preserve">Corrected</t>
  </si>
  <si>
    <t xml:space="preserve">Reason</t>
  </si>
  <si>
    <t xml:space="preserve">Table II!G5</t>
  </si>
  <si>
    <t xml:space="preserve">Formula B5+C5+D5+E5 (-194.89)</t>
  </si>
  <si>
    <t xml:space="preserve">Formula C5+D5+E5 (-97.90)</t>
  </si>
  <si>
    <t xml:space="preserve">Date-0 total of the replicating portfolio must exclude the Treasury leg it replicates (as in the paper's Table II).</t>
  </si>
  <si>
    <t xml:space="preserve">Mispricing!B9</t>
  </si>
  <si>
    <t xml:space="preserve">IF(B7&lt;0,...) -&gt; 'Treasury relatively expensive'</t>
  </si>
  <si>
    <t xml:space="preserve">IF(B8&lt;0,...) -&gt; 'TIPS relatively expensive'</t>
  </si>
  <si>
    <t xml:space="preserve">Test referenced the synthetic price (always positive) instead of the mispricing.</t>
  </si>
  <si>
    <t xml:space="preserve">Inputs!E5 (TIPS full price V)</t>
  </si>
  <si>
    <t xml:space="preserve">97.738427 (accrued 0.261864)</t>
  </si>
  <si>
    <t xml:space="preserve">H7+H8 = 97.675458 (accrued 0.198895)</t>
  </si>
  <si>
    <t xml:space="preserve">Real accrued on 1.125% TIPS for 64 of 181 days is 0.5625*64/181 = 0.198895; the submitted figure is not consistent with the stated 64 days.</t>
  </si>
  <si>
    <t xml:space="preserve">Inputs!B5 (Treasury full price P)</t>
  </si>
  <si>
    <t xml:space="preserve">96.928436 (hardcoded)</t>
  </si>
  <si>
    <t xml:space="preserve">H5+H6 = 96.928436</t>
  </si>
  <si>
    <t xml:space="preserve">Made formula-driven; value unchanged (33 of 181 days accrued).</t>
  </si>
  <si>
    <t xml:space="preserve">Inputs!A11:I25</t>
  </si>
  <si>
    <t xml:space="preserve">Tickers/rates mislabelled (e.g. 1.0y row showed USSWIT2 2.522; rates under 'Period (yrs)' header)</t>
  </si>
  <si>
    <t xml:space="preserve">Quotes moved to G11:I18; grid relabelled</t>
  </si>
  <si>
    <t xml:space="preserve">Labelling only; interpolated rates unchanged.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</si>
</sst>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"/>
    <numFmt numFmtId="166" formatCode="0.0000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libri"/>
      <family val="2"/>
      <charset val="1"/>
    </font>
    <font>
      <i val="true"/>
      <sz val="9"/>
      <color rgb="FF404040"/>
      <name val="Calibri"/>
      <family val="2"/>
      <charset val="1"/>
    </font>
    <font>
      <b val="true"/>
      <sz val="10"/>
      <color rgb="FFFFFFFF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rgb="FF0000FF"/>
      <name val="Calibri"/>
      <family val="2"/>
      <charset val="1"/>
    </font>
    <font>
      <i val="true"/>
      <sz val="10"/>
      <color rgb="FF404040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b val="true"/>
      <sz val="11"/>
      <name val="Cambria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D9E1F2"/>
        <bgColor rgb="FFDEEAF1"/>
      </patternFill>
    </fill>
    <fill>
      <patternFill patternType="solid">
        <fgColor rgb="FF2F5496"/>
        <bgColor rgb="FF1F3864"/>
      </patternFill>
    </fill>
    <fill>
      <patternFill patternType="solid">
        <fgColor rgb="FFBDD7EE"/>
        <bgColor rgb="FFD9E1F2"/>
      </patternFill>
    </fill>
    <fill>
      <patternFill patternType="solid">
        <fgColor rgb="FFEBF3F9"/>
        <bgColor rgb="FFDEEAF1"/>
      </patternFill>
    </fill>
    <fill>
      <patternFill patternType="solid">
        <fgColor rgb="FFFFFFFF"/>
        <bgColor rgb="FFEBF3F9"/>
      </patternFill>
    </fill>
    <fill>
      <patternFill patternType="solid">
        <fgColor rgb="FFDEEAF1"/>
        <bgColor rgb="FFD9E1F2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EEAF1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E1F2"/>
      <rgbColor rgb="FF808080"/>
      <rgbColor rgb="FF9999FF"/>
      <rgbColor rgb="FF993366"/>
      <rgbColor rgb="FFFFF2CC"/>
      <rgbColor rgb="FFEBF3F9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2"/>
  <sheetViews>
    <sheetView showFormulas="false" showGridLines="true" showRowColHeaders="true" showZeros="true" rightToLeft="false" tabSelected="false" showOutlineSymbols="true" defaultGridColor="true" view="normal" topLeftCell="A11" colorId="64" zoomScale="184" zoomScaleNormal="184" zoomScalePageLayoutView="100" workbookViewId="0">
      <selection pane="topLeft" activeCell="B6" activeCellId="0" sqref="B6"/>
    </sheetView>
  </sheetViews>
  <sheetFormatPr defaultColWidth="8.6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4" min="4" style="0" width="28"/>
    <col collapsed="false" customWidth="true" hidden="false" outlineLevel="0" max="5" min="5" style="0" width="18"/>
    <col collapsed="false" customWidth="true" hidden="false" outlineLevel="0" max="7" min="7" style="0" width="36"/>
    <col collapsed="false" customWidth="true" hidden="false" outlineLevel="0" max="8" min="8" style="0" width="12"/>
    <col collapsed="false" customWidth="true" hidden="false" outlineLevel="0" max="9" min="9" style="0" width="60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</row>
    <row r="2" customFormat="false" ht="13.5" hidden="false" customHeight="true" outlineLevel="0" collapsed="false">
      <c r="A2" s="2" t="s">
        <v>1</v>
      </c>
      <c r="B2" s="2"/>
      <c r="C2" s="2"/>
      <c r="D2" s="2"/>
      <c r="E2" s="2"/>
    </row>
    <row r="4" customFormat="false" ht="13.5" hidden="false" customHeight="true" outlineLevel="0" collapsed="false">
      <c r="A4" s="3" t="s">
        <v>2</v>
      </c>
      <c r="B4" s="3" t="s">
        <v>3</v>
      </c>
      <c r="C4" s="3"/>
      <c r="D4" s="3" t="s">
        <v>4</v>
      </c>
      <c r="E4" s="3" t="s">
        <v>3</v>
      </c>
      <c r="G4" s="3" t="s">
        <v>5</v>
      </c>
      <c r="H4" s="3" t="s">
        <v>3</v>
      </c>
      <c r="I4" s="3" t="s">
        <v>6</v>
      </c>
    </row>
    <row r="5" customFormat="false" ht="13.5" hidden="false" customHeight="true" outlineLevel="0" collapsed="false">
      <c r="A5" s="4" t="s">
        <v>7</v>
      </c>
      <c r="B5" s="5" t="n">
        <f aca="false">H5+H6</f>
        <v>96.9284357734807</v>
      </c>
      <c r="C5" s="6"/>
      <c r="D5" s="4" t="s">
        <v>8</v>
      </c>
      <c r="E5" s="5" t="n">
        <f aca="false">H7+H8</f>
        <v>97.6754575276243</v>
      </c>
      <c r="G5" s="5" t="s">
        <v>9</v>
      </c>
      <c r="H5" s="7" t="n">
        <f aca="false">96+19.5/32</f>
        <v>96.609375</v>
      </c>
      <c r="I5" s="8" t="s">
        <v>10</v>
      </c>
    </row>
    <row r="6" customFormat="false" ht="13.5" hidden="false" customHeight="true" outlineLevel="0" collapsed="false">
      <c r="A6" s="4" t="s">
        <v>11</v>
      </c>
      <c r="B6" s="7" t="n">
        <v>1.75</v>
      </c>
      <c r="C6" s="6"/>
      <c r="D6" s="4" t="s">
        <v>12</v>
      </c>
      <c r="E6" s="7" t="n">
        <v>0.5625</v>
      </c>
      <c r="G6" s="5" t="s">
        <v>13</v>
      </c>
      <c r="H6" s="5" t="n">
        <f aca="false">B6*33/181</f>
        <v>0.319060773480663</v>
      </c>
      <c r="I6" s="8" t="s">
        <v>14</v>
      </c>
    </row>
    <row r="7" customFormat="false" ht="13.5" hidden="false" customHeight="true" outlineLevel="0" collapsed="false">
      <c r="A7" s="4" t="s">
        <v>15</v>
      </c>
      <c r="B7" s="7" t="s">
        <v>16</v>
      </c>
      <c r="C7" s="6"/>
      <c r="D7" s="4" t="s">
        <v>15</v>
      </c>
      <c r="E7" s="7" t="s">
        <v>16</v>
      </c>
      <c r="G7" s="5" t="s">
        <v>17</v>
      </c>
      <c r="H7" s="7" t="n">
        <f aca="false">97+15.25/32</f>
        <v>97.4765625</v>
      </c>
      <c r="I7" s="8" t="s">
        <v>18</v>
      </c>
    </row>
    <row r="8" customFormat="false" ht="13.5" hidden="false" customHeight="true" outlineLevel="0" collapsed="false">
      <c r="A8" s="4" t="s">
        <v>19</v>
      </c>
      <c r="B8" s="7" t="s">
        <v>20</v>
      </c>
      <c r="C8" s="6"/>
      <c r="D8" s="4" t="s">
        <v>19</v>
      </c>
      <c r="E8" s="7" t="s">
        <v>21</v>
      </c>
      <c r="G8" s="5" t="s">
        <v>22</v>
      </c>
      <c r="H8" s="5" t="n">
        <f aca="false">E6*64/181</f>
        <v>0.198895027624309</v>
      </c>
      <c r="I8" s="8" t="s">
        <v>23</v>
      </c>
    </row>
    <row r="9" customFormat="false" ht="13.5" hidden="false" customHeight="true" outlineLevel="0" collapsed="false">
      <c r="A9" s="4" t="s">
        <v>24</v>
      </c>
      <c r="B9" s="7" t="s">
        <v>25</v>
      </c>
      <c r="C9" s="6"/>
      <c r="D9" s="4" t="s">
        <v>24</v>
      </c>
      <c r="E9" s="7" t="s">
        <v>26</v>
      </c>
    </row>
    <row r="10" customFormat="false" ht="7.5" hidden="false" customHeight="true" outlineLevel="0" collapsed="false"/>
    <row r="11" customFormat="false" ht="13.5" hidden="false" customHeight="true" outlineLevel="0" collapsed="false">
      <c r="A11" s="3" t="s">
        <v>27</v>
      </c>
      <c r="B11" s="3" t="s">
        <v>28</v>
      </c>
      <c r="C11" s="3" t="s">
        <v>29</v>
      </c>
      <c r="D11" s="3" t="s">
        <v>30</v>
      </c>
      <c r="E11" s="3"/>
      <c r="G11" s="3" t="s">
        <v>31</v>
      </c>
      <c r="H11" s="3" t="s">
        <v>32</v>
      </c>
      <c r="I11" s="3" t="s">
        <v>33</v>
      </c>
    </row>
    <row r="12" customFormat="false" ht="12.75" hidden="false" customHeight="true" outlineLevel="0" collapsed="false">
      <c r="A12" s="9" t="n">
        <v>0.5</v>
      </c>
      <c r="B12" s="8" t="s">
        <v>34</v>
      </c>
      <c r="C12" s="8" t="s">
        <v>35</v>
      </c>
      <c r="D12" s="5" t="n">
        <f aca="false">I12</f>
        <v>2.704</v>
      </c>
      <c r="G12" s="7" t="n">
        <v>1</v>
      </c>
      <c r="H12" s="7" t="s">
        <v>34</v>
      </c>
      <c r="I12" s="7" t="n">
        <v>2.704</v>
      </c>
    </row>
    <row r="13" customFormat="false" ht="12.75" hidden="false" customHeight="true" outlineLevel="0" collapsed="false">
      <c r="A13" s="10" t="n">
        <v>1</v>
      </c>
      <c r="B13" s="0" t="s">
        <v>34</v>
      </c>
      <c r="C13" s="0" t="s">
        <v>36</v>
      </c>
      <c r="D13" s="6" t="n">
        <f aca="false">I12</f>
        <v>2.704</v>
      </c>
      <c r="G13" s="7" t="n">
        <v>2</v>
      </c>
      <c r="H13" s="7" t="s">
        <v>37</v>
      </c>
      <c r="I13" s="7" t="n">
        <v>2.522</v>
      </c>
    </row>
    <row r="14" customFormat="false" ht="12.75" hidden="false" customHeight="true" outlineLevel="0" collapsed="false">
      <c r="A14" s="9" t="n">
        <v>1.5</v>
      </c>
      <c r="B14" s="0" t="s">
        <v>38</v>
      </c>
      <c r="C14" s="0" t="s">
        <v>39</v>
      </c>
      <c r="D14" s="5" t="n">
        <f aca="false">(I12+I13)/2</f>
        <v>2.613</v>
      </c>
      <c r="G14" s="7" t="n">
        <v>3</v>
      </c>
      <c r="H14" s="7" t="s">
        <v>40</v>
      </c>
      <c r="I14" s="7" t="n">
        <v>2.477</v>
      </c>
    </row>
    <row r="15" customFormat="false" ht="12.75" hidden="false" customHeight="true" outlineLevel="0" collapsed="false">
      <c r="A15" s="10" t="n">
        <v>2</v>
      </c>
      <c r="B15" s="0" t="s">
        <v>37</v>
      </c>
      <c r="C15" s="0" t="s">
        <v>36</v>
      </c>
      <c r="D15" s="6" t="n">
        <f aca="false">I13</f>
        <v>2.522</v>
      </c>
      <c r="G15" s="7" t="n">
        <v>4</v>
      </c>
      <c r="H15" s="7" t="s">
        <v>41</v>
      </c>
      <c r="I15" s="7" t="n">
        <v>2.451</v>
      </c>
    </row>
    <row r="16" customFormat="false" ht="12.75" hidden="false" customHeight="true" outlineLevel="0" collapsed="false">
      <c r="A16" s="9" t="n">
        <v>2.5</v>
      </c>
      <c r="B16" s="0" t="s">
        <v>42</v>
      </c>
      <c r="C16" s="0" t="s">
        <v>43</v>
      </c>
      <c r="D16" s="5" t="n">
        <f aca="false">(I13+I14)/2</f>
        <v>2.4995</v>
      </c>
      <c r="G16" s="7" t="n">
        <v>5</v>
      </c>
      <c r="H16" s="7" t="s">
        <v>44</v>
      </c>
      <c r="I16" s="7" t="n">
        <v>2.42</v>
      </c>
    </row>
    <row r="17" customFormat="false" ht="12.75" hidden="false" customHeight="true" outlineLevel="0" collapsed="false">
      <c r="A17" s="10" t="n">
        <v>3</v>
      </c>
      <c r="B17" s="0" t="s">
        <v>40</v>
      </c>
      <c r="C17" s="0" t="s">
        <v>36</v>
      </c>
      <c r="D17" s="6" t="n">
        <f aca="false">I14</f>
        <v>2.477</v>
      </c>
      <c r="G17" s="7" t="n">
        <v>6</v>
      </c>
      <c r="H17" s="7" t="s">
        <v>45</v>
      </c>
      <c r="I17" s="7" t="n">
        <v>2.444</v>
      </c>
    </row>
    <row r="18" customFormat="false" ht="12.75" hidden="false" customHeight="true" outlineLevel="0" collapsed="false">
      <c r="A18" s="9" t="n">
        <v>3.5</v>
      </c>
      <c r="B18" s="0" t="s">
        <v>46</v>
      </c>
      <c r="C18" s="0" t="s">
        <v>47</v>
      </c>
      <c r="D18" s="5" t="n">
        <f aca="false">(I14+I15)/2</f>
        <v>2.464</v>
      </c>
      <c r="G18" s="7" t="n">
        <v>7</v>
      </c>
      <c r="H18" s="7" t="s">
        <v>48</v>
      </c>
      <c r="I18" s="7" t="n">
        <v>2.425</v>
      </c>
    </row>
    <row r="19" customFormat="false" ht="12.75" hidden="false" customHeight="true" outlineLevel="0" collapsed="false">
      <c r="A19" s="10" t="n">
        <v>4</v>
      </c>
      <c r="B19" s="0" t="s">
        <v>41</v>
      </c>
      <c r="C19" s="0" t="s">
        <v>36</v>
      </c>
      <c r="D19" s="6" t="n">
        <f aca="false">I15</f>
        <v>2.451</v>
      </c>
    </row>
    <row r="20" customFormat="false" ht="12.75" hidden="false" customHeight="true" outlineLevel="0" collapsed="false">
      <c r="A20" s="9" t="n">
        <v>4.5</v>
      </c>
      <c r="B20" s="0" t="s">
        <v>49</v>
      </c>
      <c r="C20" s="0" t="s">
        <v>50</v>
      </c>
      <c r="D20" s="5" t="n">
        <f aca="false">(I15+I16)/2</f>
        <v>2.4355</v>
      </c>
    </row>
    <row r="21" customFormat="false" ht="12.75" hidden="false" customHeight="true" outlineLevel="0" collapsed="false">
      <c r="A21" s="10" t="n">
        <v>5</v>
      </c>
      <c r="B21" s="0" t="s">
        <v>44</v>
      </c>
      <c r="C21" s="0" t="s">
        <v>36</v>
      </c>
      <c r="D21" s="6" t="n">
        <f aca="false">I16</f>
        <v>2.42</v>
      </c>
    </row>
    <row r="22" customFormat="false" ht="12.75" hidden="false" customHeight="true" outlineLevel="0" collapsed="false">
      <c r="A22" s="9" t="n">
        <v>5.5</v>
      </c>
      <c r="B22" s="0" t="s">
        <v>51</v>
      </c>
      <c r="C22" s="0" t="s">
        <v>52</v>
      </c>
      <c r="D22" s="5" t="n">
        <f aca="false">(I16+I17)/2</f>
        <v>2.432</v>
      </c>
    </row>
    <row r="23" customFormat="false" ht="12.75" hidden="false" customHeight="true" outlineLevel="0" collapsed="false">
      <c r="A23" s="10" t="n">
        <v>6</v>
      </c>
      <c r="B23" s="0" t="s">
        <v>45</v>
      </c>
      <c r="C23" s="0" t="s">
        <v>36</v>
      </c>
      <c r="D23" s="6" t="n">
        <f aca="false">I17</f>
        <v>2.444</v>
      </c>
    </row>
    <row r="24" customFormat="false" ht="12.75" hidden="false" customHeight="true" outlineLevel="0" collapsed="false">
      <c r="A24" s="9" t="n">
        <v>6.5</v>
      </c>
      <c r="B24" s="0" t="s">
        <v>53</v>
      </c>
      <c r="C24" s="0" t="s">
        <v>54</v>
      </c>
      <c r="D24" s="5" t="n">
        <f aca="false">(I17+I18)/2</f>
        <v>2.4345</v>
      </c>
    </row>
    <row r="25" customFormat="false" ht="12.75" hidden="false" customHeight="true" outlineLevel="0" collapsed="false">
      <c r="A25" s="10" t="n">
        <v>7</v>
      </c>
      <c r="B25" s="0" t="s">
        <v>48</v>
      </c>
      <c r="C25" s="0" t="s">
        <v>36</v>
      </c>
      <c r="D25" s="6" t="n">
        <f aca="false">I18</f>
        <v>2.425</v>
      </c>
    </row>
    <row r="27" customFormat="false" ht="7.5" hidden="false" customHeight="true" outlineLevel="0" collapsed="false"/>
    <row r="28" customFormat="false" ht="13.5" hidden="false" customHeight="true" outlineLevel="0" collapsed="false">
      <c r="A28" s="3" t="s">
        <v>55</v>
      </c>
      <c r="B28" s="3" t="s">
        <v>56</v>
      </c>
      <c r="C28" s="3" t="s">
        <v>57</v>
      </c>
      <c r="D28" s="3" t="s">
        <v>58</v>
      </c>
      <c r="E28" s="3"/>
    </row>
    <row r="29" customFormat="false" ht="12.75" hidden="false" customHeight="true" outlineLevel="0" collapsed="false">
      <c r="A29" s="9" t="n">
        <v>1</v>
      </c>
      <c r="B29" s="9" t="s">
        <v>59</v>
      </c>
      <c r="C29" s="9" t="n">
        <v>98.515</v>
      </c>
      <c r="D29" s="9" t="n">
        <v>0.405202</v>
      </c>
      <c r="E29" s="8"/>
    </row>
    <row r="30" customFormat="false" ht="12.75" hidden="false" customHeight="true" outlineLevel="0" collapsed="false">
      <c r="A30" s="10" t="n">
        <v>2</v>
      </c>
      <c r="B30" s="10" t="s">
        <v>60</v>
      </c>
      <c r="C30" s="10" t="n">
        <v>96.8006</v>
      </c>
      <c r="D30" s="10" t="n">
        <v>0.908966</v>
      </c>
      <c r="E30" s="11"/>
    </row>
    <row r="31" customFormat="false" ht="12.75" hidden="false" customHeight="true" outlineLevel="0" collapsed="false">
      <c r="A31" s="9" t="n">
        <v>3</v>
      </c>
      <c r="B31" s="9" t="s">
        <v>61</v>
      </c>
      <c r="C31" s="9" t="n">
        <v>94.882</v>
      </c>
      <c r="D31" s="9" t="n">
        <v>1.404517</v>
      </c>
      <c r="E31" s="8"/>
    </row>
    <row r="32" customFormat="false" ht="12.75" hidden="false" customHeight="true" outlineLevel="0" collapsed="false">
      <c r="A32" s="10" t="n">
        <v>4</v>
      </c>
      <c r="B32" s="10" t="s">
        <v>62</v>
      </c>
      <c r="C32" s="10" t="n">
        <v>93.0997</v>
      </c>
      <c r="D32" s="10" t="n">
        <v>1.908282</v>
      </c>
      <c r="E32" s="11"/>
    </row>
    <row r="33" customFormat="false" ht="12.75" hidden="false" customHeight="true" outlineLevel="0" collapsed="false">
      <c r="A33" s="9" t="n">
        <v>5</v>
      </c>
      <c r="B33" s="9" t="s">
        <v>63</v>
      </c>
      <c r="C33" s="9" t="n">
        <v>91.3442</v>
      </c>
      <c r="D33" s="9" t="n">
        <v>2.406571</v>
      </c>
      <c r="E33" s="8"/>
    </row>
    <row r="34" customFormat="false" ht="12.75" hidden="false" customHeight="true" outlineLevel="0" collapsed="false">
      <c r="A34" s="10" t="n">
        <v>6</v>
      </c>
      <c r="B34" s="10" t="s">
        <v>64</v>
      </c>
      <c r="C34" s="10" t="n">
        <v>89.613</v>
      </c>
      <c r="D34" s="10" t="n">
        <v>2.910335</v>
      </c>
      <c r="E34" s="11"/>
    </row>
    <row r="35" customFormat="false" ht="12.75" hidden="false" customHeight="true" outlineLevel="0" collapsed="false">
      <c r="A35" s="9" t="n">
        <v>7</v>
      </c>
      <c r="B35" s="9" t="s">
        <v>65</v>
      </c>
      <c r="C35" s="9" t="n">
        <v>87.8689</v>
      </c>
      <c r="D35" s="9" t="n">
        <v>3.405886</v>
      </c>
      <c r="E35" s="8"/>
    </row>
    <row r="36" customFormat="false" ht="12.75" hidden="false" customHeight="true" outlineLevel="0" collapsed="false">
      <c r="A36" s="10" t="n">
        <v>8</v>
      </c>
      <c r="B36" s="10" t="s">
        <v>66</v>
      </c>
      <c r="C36" s="10" t="n">
        <v>86.122</v>
      </c>
      <c r="D36" s="10" t="n">
        <v>3.909651</v>
      </c>
      <c r="E36" s="11"/>
    </row>
    <row r="37" customFormat="false" ht="12.75" hidden="false" customHeight="true" outlineLevel="0" collapsed="false">
      <c r="A37" s="9" t="n">
        <v>9</v>
      </c>
      <c r="B37" s="9" t="s">
        <v>67</v>
      </c>
      <c r="C37" s="9" t="n">
        <v>84.3968</v>
      </c>
      <c r="D37" s="9" t="n">
        <v>4.405202</v>
      </c>
      <c r="E37" s="8"/>
    </row>
    <row r="38" customFormat="false" ht="12.75" hidden="false" customHeight="true" outlineLevel="0" collapsed="false">
      <c r="A38" s="10" t="n">
        <v>10</v>
      </c>
      <c r="B38" s="10" t="s">
        <v>68</v>
      </c>
      <c r="C38" s="10" t="n">
        <v>82.6731</v>
      </c>
      <c r="D38" s="10" t="n">
        <v>4.908966</v>
      </c>
      <c r="E38" s="11"/>
    </row>
    <row r="39" customFormat="false" ht="12.75" hidden="false" customHeight="true" outlineLevel="0" collapsed="false">
      <c r="A39" s="9" t="n">
        <v>11</v>
      </c>
      <c r="B39" s="9" t="s">
        <v>69</v>
      </c>
      <c r="C39" s="9" t="n">
        <v>80.9573</v>
      </c>
      <c r="D39" s="9" t="n">
        <v>5.404517</v>
      </c>
      <c r="E39" s="8"/>
    </row>
    <row r="40" customFormat="false" ht="12.75" hidden="false" customHeight="true" outlineLevel="0" collapsed="false">
      <c r="A40" s="10" t="n">
        <v>12</v>
      </c>
      <c r="B40" s="10" t="s">
        <v>70</v>
      </c>
      <c r="C40" s="10" t="n">
        <v>79.1574</v>
      </c>
      <c r="D40" s="10" t="n">
        <v>5.908282</v>
      </c>
      <c r="E40" s="11"/>
    </row>
    <row r="41" customFormat="false" ht="12.75" hidden="false" customHeight="true" outlineLevel="0" collapsed="false">
      <c r="A41" s="9" t="n">
        <v>13</v>
      </c>
      <c r="B41" s="9" t="s">
        <v>71</v>
      </c>
      <c r="C41" s="9" t="n">
        <v>77.4806</v>
      </c>
      <c r="D41" s="9" t="n">
        <v>6.406571</v>
      </c>
      <c r="E41" s="8"/>
    </row>
    <row r="42" customFormat="false" ht="12.75" hidden="false" customHeight="true" outlineLevel="0" collapsed="false">
      <c r="A42" s="10" t="n">
        <v>14</v>
      </c>
      <c r="B42" s="10" t="s">
        <v>20</v>
      </c>
      <c r="C42" s="10" t="n">
        <v>75.6917</v>
      </c>
      <c r="D42" s="10" t="n">
        <v>6.910335</v>
      </c>
      <c r="E42" s="11"/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17" zoomScaleNormal="117" zoomScalePageLayoutView="100" workbookViewId="0">
      <selection pane="topLeft" activeCell="F5" activeCellId="0" sqref="F5"/>
    </sheetView>
  </sheetViews>
  <sheetFormatPr defaultColWidth="8.6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4" min="2" style="0" width="13"/>
    <col collapsed="false" customWidth="true" hidden="false" outlineLevel="0" max="5" min="5" style="0" width="16"/>
    <col collapsed="false" customWidth="true" hidden="false" outlineLevel="0" max="8" min="6" style="0" width="14"/>
  </cols>
  <sheetData>
    <row r="1" customFormat="false" ht="19.5" hidden="false" customHeight="true" outlineLevel="0" collapsed="false">
      <c r="A1" s="1" t="s">
        <v>72</v>
      </c>
      <c r="B1" s="1"/>
      <c r="C1" s="1"/>
      <c r="D1" s="1"/>
      <c r="E1" s="1"/>
      <c r="F1" s="1"/>
      <c r="G1" s="1"/>
      <c r="H1" s="1"/>
    </row>
    <row r="2" customFormat="false" ht="13.5" hidden="false" customHeight="true" outlineLevel="0" collapsed="false">
      <c r="A2" s="2" t="s">
        <v>73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3" t="s">
        <v>74</v>
      </c>
      <c r="B4" s="3" t="s">
        <v>75</v>
      </c>
      <c r="C4" s="3" t="s">
        <v>58</v>
      </c>
      <c r="D4" s="3" t="s">
        <v>76</v>
      </c>
      <c r="E4" s="3" t="s">
        <v>77</v>
      </c>
      <c r="F4" s="3" t="s">
        <v>78</v>
      </c>
      <c r="G4" s="3" t="s">
        <v>79</v>
      </c>
      <c r="H4" s="3" t="s">
        <v>80</v>
      </c>
    </row>
    <row r="5" customFormat="false" ht="15" hidden="false" customHeight="true" outlineLevel="0" collapsed="false">
      <c r="A5" s="5" t="n">
        <f aca="false">Inputs!A29</f>
        <v>1</v>
      </c>
      <c r="B5" s="5" t="str">
        <f aca="false">Inputs!B29</f>
        <v>8/15/2026</v>
      </c>
      <c r="C5" s="12" t="n">
        <f aca="false">Inputs!D29</f>
        <v>0.405202</v>
      </c>
      <c r="D5" s="12" t="n">
        <f aca="false">Inputs!D12</f>
        <v>2.704</v>
      </c>
      <c r="E5" s="13" t="n">
        <f aca="false">(1+D5/100)^C5</f>
        <v>1.01086979696806</v>
      </c>
      <c r="F5" s="13" t="n">
        <f aca="false">Inputs!$B$6 - Inputs!$E$6*E5</f>
        <v>1.18138573920547</v>
      </c>
      <c r="G5" s="12" t="n">
        <f aca="false">Inputs!C29</f>
        <v>98.515</v>
      </c>
      <c r="H5" s="13" t="n">
        <f aca="false">F5*G5/100</f>
        <v>1.16384216097827</v>
      </c>
    </row>
    <row r="6" customFormat="false" ht="15" hidden="false" customHeight="true" outlineLevel="0" collapsed="false">
      <c r="A6" s="6" t="n">
        <f aca="false">Inputs!A30</f>
        <v>2</v>
      </c>
      <c r="B6" s="6" t="str">
        <f aca="false">Inputs!B30</f>
        <v>2/15/2027</v>
      </c>
      <c r="C6" s="14" t="n">
        <f aca="false">Inputs!D30</f>
        <v>0.908966</v>
      </c>
      <c r="D6" s="14" t="n">
        <f aca="false">Inputs!D13</f>
        <v>2.704</v>
      </c>
      <c r="E6" s="15" t="n">
        <f aca="false">(1+D6/100)^C6</f>
        <v>1.02454848333912</v>
      </c>
      <c r="F6" s="15" t="n">
        <f aca="false">Inputs!$B$6 - Inputs!$E$6*E6</f>
        <v>1.17369147812175</v>
      </c>
      <c r="G6" s="14" t="n">
        <f aca="false">Inputs!C30</f>
        <v>96.8006</v>
      </c>
      <c r="H6" s="15" t="n">
        <f aca="false">F6*G6/100</f>
        <v>1.13614039297072</v>
      </c>
    </row>
    <row r="7" customFormat="false" ht="15" hidden="false" customHeight="true" outlineLevel="0" collapsed="false">
      <c r="A7" s="5" t="n">
        <f aca="false">Inputs!A31</f>
        <v>3</v>
      </c>
      <c r="B7" s="5" t="str">
        <f aca="false">Inputs!B31</f>
        <v>8/15/2027</v>
      </c>
      <c r="C7" s="12" t="n">
        <f aca="false">Inputs!D31</f>
        <v>1.404517</v>
      </c>
      <c r="D7" s="12" t="n">
        <f aca="false">Inputs!D14</f>
        <v>2.613</v>
      </c>
      <c r="E7" s="13" t="n">
        <f aca="false">(1+D7/100)^C7</f>
        <v>1.03689299374046</v>
      </c>
      <c r="F7" s="13" t="n">
        <f aca="false">Inputs!$B$6 - Inputs!$E$6*E7</f>
        <v>1.16674769102099</v>
      </c>
      <c r="G7" s="12" t="n">
        <f aca="false">Inputs!C31</f>
        <v>94.882</v>
      </c>
      <c r="H7" s="13" t="n">
        <f aca="false">F7*G7/100</f>
        <v>1.10703354419454</v>
      </c>
    </row>
    <row r="8" customFormat="false" ht="15" hidden="false" customHeight="true" outlineLevel="0" collapsed="false">
      <c r="A8" s="6" t="n">
        <f aca="false">Inputs!A32</f>
        <v>4</v>
      </c>
      <c r="B8" s="6" t="str">
        <f aca="false">Inputs!B32</f>
        <v>2/15/2028</v>
      </c>
      <c r="C8" s="14" t="n">
        <f aca="false">Inputs!D32</f>
        <v>1.908282</v>
      </c>
      <c r="D8" s="14" t="n">
        <f aca="false">Inputs!D15</f>
        <v>2.522</v>
      </c>
      <c r="E8" s="15" t="n">
        <f aca="false">(1+D8/100)^C8</f>
        <v>1.04867766797214</v>
      </c>
      <c r="F8" s="15" t="n">
        <f aca="false">Inputs!$B$6 - Inputs!$E$6*E8</f>
        <v>1.16011881176567</v>
      </c>
      <c r="G8" s="14" t="n">
        <f aca="false">Inputs!C32</f>
        <v>93.0997</v>
      </c>
      <c r="H8" s="15" t="n">
        <f aca="false">F8*G8/100</f>
        <v>1.08006713339741</v>
      </c>
    </row>
    <row r="9" customFormat="false" ht="15" hidden="false" customHeight="true" outlineLevel="0" collapsed="false">
      <c r="A9" s="5" t="n">
        <f aca="false">Inputs!A33</f>
        <v>5</v>
      </c>
      <c r="B9" s="5" t="str">
        <f aca="false">Inputs!B33</f>
        <v>8/15/2028</v>
      </c>
      <c r="C9" s="12" t="n">
        <f aca="false">Inputs!D33</f>
        <v>2.406571</v>
      </c>
      <c r="D9" s="12" t="n">
        <f aca="false">Inputs!D16</f>
        <v>2.4995</v>
      </c>
      <c r="E9" s="13" t="n">
        <f aca="false">(1+D9/100)^C9</f>
        <v>1.0612132042684</v>
      </c>
      <c r="F9" s="13" t="n">
        <f aca="false">Inputs!$B$6 - Inputs!$E$6*E9</f>
        <v>1.15306757259903</v>
      </c>
      <c r="G9" s="12" t="n">
        <f aca="false">Inputs!C33</f>
        <v>91.3442</v>
      </c>
      <c r="H9" s="13" t="n">
        <f aca="false">F9*G9/100</f>
        <v>1.05326034965</v>
      </c>
    </row>
    <row r="10" customFormat="false" ht="15" hidden="false" customHeight="true" outlineLevel="0" collapsed="false">
      <c r="A10" s="6" t="n">
        <f aca="false">Inputs!A34</f>
        <v>6</v>
      </c>
      <c r="B10" s="6" t="str">
        <f aca="false">Inputs!B34</f>
        <v>2/15/2029</v>
      </c>
      <c r="C10" s="14" t="n">
        <f aca="false">Inputs!D34</f>
        <v>2.910335</v>
      </c>
      <c r="D10" s="14" t="n">
        <f aca="false">Inputs!D17</f>
        <v>2.477</v>
      </c>
      <c r="E10" s="15" t="n">
        <f aca="false">(1+D10/100)^C10</f>
        <v>1.07380740022161</v>
      </c>
      <c r="F10" s="15" t="n">
        <f aca="false">Inputs!$B$6 - Inputs!$E$6*E10</f>
        <v>1.14598333737534</v>
      </c>
      <c r="G10" s="14" t="n">
        <f aca="false">Inputs!C34</f>
        <v>89.613</v>
      </c>
      <c r="H10" s="15" t="n">
        <f aca="false">F10*G10/100</f>
        <v>1.02695004812217</v>
      </c>
    </row>
    <row r="11" customFormat="false" ht="15" hidden="false" customHeight="true" outlineLevel="0" collapsed="false">
      <c r="A11" s="5" t="n">
        <f aca="false">Inputs!A35</f>
        <v>7</v>
      </c>
      <c r="B11" s="5" t="str">
        <f aca="false">Inputs!B35</f>
        <v>8/15/2029</v>
      </c>
      <c r="C11" s="12" t="n">
        <f aca="false">Inputs!D35</f>
        <v>3.405886</v>
      </c>
      <c r="D11" s="12" t="n">
        <f aca="false">Inputs!D18</f>
        <v>2.464</v>
      </c>
      <c r="E11" s="13" t="n">
        <f aca="false">(1+D11/100)^C11</f>
        <v>1.08643728802504</v>
      </c>
      <c r="F11" s="13" t="n">
        <f aca="false">Inputs!$B$6 - Inputs!$E$6*E11</f>
        <v>1.13887902548591</v>
      </c>
      <c r="G11" s="12" t="n">
        <f aca="false">Inputs!C35</f>
        <v>87.8689</v>
      </c>
      <c r="H11" s="13" t="n">
        <f aca="false">F11*G11/100</f>
        <v>1.00072047202519</v>
      </c>
    </row>
    <row r="12" customFormat="false" ht="15" hidden="false" customHeight="true" outlineLevel="0" collapsed="false">
      <c r="A12" s="6" t="n">
        <f aca="false">Inputs!A36</f>
        <v>8</v>
      </c>
      <c r="B12" s="6" t="str">
        <f aca="false">Inputs!B36</f>
        <v>2/15/2030</v>
      </c>
      <c r="C12" s="14" t="n">
        <f aca="false">Inputs!D36</f>
        <v>3.909651</v>
      </c>
      <c r="D12" s="14" t="n">
        <f aca="false">Inputs!D19</f>
        <v>2.451</v>
      </c>
      <c r="E12" s="15" t="n">
        <f aca="false">(1+D12/100)^C12</f>
        <v>1.09929607894818</v>
      </c>
      <c r="F12" s="15" t="n">
        <f aca="false">Inputs!$B$6 - Inputs!$E$6*E12</f>
        <v>1.13164595559165</v>
      </c>
      <c r="G12" s="14" t="n">
        <f aca="false">Inputs!C36</f>
        <v>86.122</v>
      </c>
      <c r="H12" s="15" t="n">
        <f aca="false">F12*G12/100</f>
        <v>0.97459612987464</v>
      </c>
    </row>
    <row r="13" customFormat="false" ht="15" hidden="false" customHeight="true" outlineLevel="0" collapsed="false">
      <c r="A13" s="5" t="n">
        <f aca="false">Inputs!A37</f>
        <v>9</v>
      </c>
      <c r="B13" s="5" t="str">
        <f aca="false">Inputs!B37</f>
        <v>8/15/2030</v>
      </c>
      <c r="C13" s="12" t="n">
        <f aca="false">Inputs!D37</f>
        <v>4.405202</v>
      </c>
      <c r="D13" s="12" t="n">
        <f aca="false">Inputs!D20</f>
        <v>2.4355</v>
      </c>
      <c r="E13" s="13" t="n">
        <f aca="false">(1+D13/100)^C13</f>
        <v>1.111825234078</v>
      </c>
      <c r="F13" s="13" t="n">
        <f aca="false">Inputs!$B$6 - Inputs!$E$6*E13</f>
        <v>1.12459830583113</v>
      </c>
      <c r="G13" s="12" t="n">
        <f aca="false">Inputs!C37</f>
        <v>84.3968</v>
      </c>
      <c r="H13" s="13" t="n">
        <f aca="false">F13*G13/100</f>
        <v>0.949124982975683</v>
      </c>
    </row>
    <row r="14" customFormat="false" ht="15" hidden="false" customHeight="true" outlineLevel="0" collapsed="false">
      <c r="A14" s="6" t="n">
        <f aca="false">Inputs!A38</f>
        <v>10</v>
      </c>
      <c r="B14" s="6" t="str">
        <f aca="false">Inputs!B38</f>
        <v>2/15/2031</v>
      </c>
      <c r="C14" s="14" t="n">
        <f aca="false">Inputs!D38</f>
        <v>4.908966</v>
      </c>
      <c r="D14" s="14" t="n">
        <f aca="false">Inputs!D21</f>
        <v>2.42</v>
      </c>
      <c r="E14" s="15" t="n">
        <f aca="false">(1+D14/100)^C14</f>
        <v>1.12454927575677</v>
      </c>
      <c r="F14" s="15" t="n">
        <f aca="false">Inputs!$B$6 - Inputs!$E$6*E14</f>
        <v>1.11744103238681</v>
      </c>
      <c r="G14" s="14" t="n">
        <f aca="false">Inputs!C38</f>
        <v>82.6731</v>
      </c>
      <c r="H14" s="15" t="n">
        <f aca="false">F14*G14/100</f>
        <v>0.923823142146184</v>
      </c>
    </row>
    <row r="15" customFormat="false" ht="15" hidden="false" customHeight="true" outlineLevel="0" collapsed="false">
      <c r="A15" s="5" t="n">
        <f aca="false">Inputs!A39</f>
        <v>11</v>
      </c>
      <c r="B15" s="5" t="str">
        <f aca="false">Inputs!B39</f>
        <v>8/15/2031</v>
      </c>
      <c r="C15" s="12" t="n">
        <f aca="false">Inputs!D39</f>
        <v>5.404517</v>
      </c>
      <c r="D15" s="12" t="n">
        <f aca="false">Inputs!D22</f>
        <v>2.432</v>
      </c>
      <c r="E15" s="13" t="n">
        <f aca="false">(1+D15/100)^C15</f>
        <v>1.13867467351535</v>
      </c>
      <c r="F15" s="13" t="n">
        <f aca="false">Inputs!$B$6 - Inputs!$E$6*E15</f>
        <v>1.10949549614761</v>
      </c>
      <c r="G15" s="12" t="n">
        <f aca="false">Inputs!C39</f>
        <v>80.9573</v>
      </c>
      <c r="H15" s="13" t="n">
        <f aca="false">F15*G15/100</f>
        <v>0.898217597302712</v>
      </c>
    </row>
    <row r="16" customFormat="false" ht="15" hidden="false" customHeight="true" outlineLevel="0" collapsed="false">
      <c r="A16" s="6" t="n">
        <f aca="false">Inputs!A40</f>
        <v>12</v>
      </c>
      <c r="B16" s="6" t="str">
        <f aca="false">Inputs!B40</f>
        <v>2/15/2032</v>
      </c>
      <c r="C16" s="14" t="n">
        <f aca="false">Inputs!D40</f>
        <v>5.908282</v>
      </c>
      <c r="D16" s="14" t="n">
        <f aca="false">Inputs!D23</f>
        <v>2.444</v>
      </c>
      <c r="E16" s="15" t="n">
        <f aca="false">(1+D16/100)^C16</f>
        <v>1.15334001872448</v>
      </c>
      <c r="F16" s="15" t="n">
        <f aca="false">Inputs!$B$6 - Inputs!$E$6*E16</f>
        <v>1.10124623946748</v>
      </c>
      <c r="G16" s="14" t="n">
        <f aca="false">Inputs!C40</f>
        <v>79.1574</v>
      </c>
      <c r="H16" s="15" t="n">
        <f aca="false">F16*G16/100</f>
        <v>0.871717890760231</v>
      </c>
    </row>
    <row r="17" customFormat="false" ht="15" hidden="false" customHeight="true" outlineLevel="0" collapsed="false">
      <c r="A17" s="5" t="n">
        <f aca="false">Inputs!A41</f>
        <v>13</v>
      </c>
      <c r="B17" s="5" t="str">
        <f aca="false">Inputs!B41</f>
        <v>8/15/2032</v>
      </c>
      <c r="C17" s="12" t="n">
        <f aca="false">Inputs!D41</f>
        <v>6.406571</v>
      </c>
      <c r="D17" s="12" t="n">
        <f aca="false">Inputs!D24</f>
        <v>2.4345</v>
      </c>
      <c r="E17" s="13" t="n">
        <f aca="false">(1+D17/100)^C17</f>
        <v>1.16660720569674</v>
      </c>
      <c r="F17" s="13" t="n">
        <f aca="false">Inputs!$B$6 - Inputs!$E$6*E17</f>
        <v>1.09378344679559</v>
      </c>
      <c r="G17" s="12" t="n">
        <f aca="false">Inputs!C41</f>
        <v>77.4806</v>
      </c>
      <c r="H17" s="13" t="n">
        <f aca="false">F17*G17/100</f>
        <v>0.847469977277901</v>
      </c>
    </row>
    <row r="18" customFormat="false" ht="15" hidden="false" customHeight="true" outlineLevel="0" collapsed="false">
      <c r="A18" s="6" t="n">
        <f aca="false">Inputs!A42</f>
        <v>14</v>
      </c>
      <c r="B18" s="6" t="str">
        <f aca="false">Inputs!B42</f>
        <v>2/15/2033</v>
      </c>
      <c r="C18" s="14" t="n">
        <f aca="false">Inputs!D42</f>
        <v>6.910335</v>
      </c>
      <c r="D18" s="14" t="n">
        <f aca="false">Inputs!D25</f>
        <v>2.425</v>
      </c>
      <c r="E18" s="15" t="n">
        <f aca="false">(1+D18/100)^C18</f>
        <v>1.18007268207254</v>
      </c>
      <c r="F18" s="16" t="n">
        <f aca="false">(Inputs!$B$6+100) - (Inputs!$E$6+100)*E18</f>
        <v>-16.9210590909202</v>
      </c>
      <c r="G18" s="14" t="n">
        <f aca="false">Inputs!C42</f>
        <v>75.6917</v>
      </c>
      <c r="H18" s="15" t="n">
        <f aca="false">F18*G18/100</f>
        <v>-12.807837283922</v>
      </c>
    </row>
    <row r="19" customFormat="false" ht="15" hidden="false" customHeight="true" outlineLevel="0" collapsed="false">
      <c r="A19" s="17" t="s">
        <v>81</v>
      </c>
      <c r="B19" s="18"/>
      <c r="C19" s="18"/>
      <c r="D19" s="18"/>
      <c r="E19" s="18"/>
      <c r="F19" s="18"/>
      <c r="G19" s="18"/>
      <c r="H19" s="19" t="n">
        <f aca="false">SUM(H5:H18)</f>
        <v>0.225126537753607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true" showOutlineSymbols="true" defaultGridColor="true" view="normal" topLeftCell="A1" colorId="64" zoomScale="108" zoomScaleNormal="108" zoomScalePageLayoutView="100" workbookViewId="0">
      <selection pane="topLeft" activeCell="E30" activeCellId="0" sqref="E30"/>
    </sheetView>
  </sheetViews>
  <sheetFormatPr defaultColWidth="8.6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7" min="6" style="0" width="16"/>
  </cols>
  <sheetData>
    <row r="1" customFormat="false" ht="19.5" hidden="false" customHeight="true" outlineLevel="0" collapsed="false">
      <c r="A1" s="20" t="s">
        <v>82</v>
      </c>
      <c r="B1" s="20"/>
      <c r="C1" s="20"/>
      <c r="D1" s="20"/>
      <c r="E1" s="20"/>
      <c r="F1" s="20"/>
      <c r="G1" s="20"/>
    </row>
    <row r="2" customFormat="false" ht="13.5" hidden="false" customHeight="true" outlineLevel="0" collapsed="false">
      <c r="A2" s="2" t="s">
        <v>83</v>
      </c>
      <c r="B2" s="2"/>
      <c r="C2" s="2"/>
      <c r="D2" s="2"/>
      <c r="E2" s="2"/>
      <c r="F2" s="2"/>
      <c r="G2" s="2"/>
    </row>
    <row r="4" customFormat="false" ht="30" hidden="false" customHeight="true" outlineLevel="0" collapsed="false">
      <c r="A4" s="3" t="s">
        <v>75</v>
      </c>
      <c r="B4" s="3" t="s">
        <v>84</v>
      </c>
      <c r="C4" s="3" t="s">
        <v>85</v>
      </c>
      <c r="D4" s="3" t="s">
        <v>86</v>
      </c>
      <c r="E4" s="3" t="s">
        <v>87</v>
      </c>
      <c r="F4" s="3" t="s">
        <v>88</v>
      </c>
      <c r="G4" s="3" t="s">
        <v>89</v>
      </c>
    </row>
    <row r="5" customFormat="false" ht="15" hidden="false" customHeight="true" outlineLevel="0" collapsed="false">
      <c r="A5" s="21" t="n">
        <v>0</v>
      </c>
      <c r="B5" s="22" t="n">
        <f aca="false">-Inputs!B5</f>
        <v>-96.9284357734807</v>
      </c>
      <c r="C5" s="22" t="n">
        <f aca="false">-Inputs!E5</f>
        <v>-97.6754575276243</v>
      </c>
      <c r="D5" s="23" t="n">
        <v>0</v>
      </c>
      <c r="E5" s="22" t="n">
        <f aca="false">-Calculations!H19</f>
        <v>-0.225126537753607</v>
      </c>
      <c r="F5" s="23" t="s">
        <v>90</v>
      </c>
      <c r="G5" s="22" t="n">
        <f aca="false">C5+D5+E5</f>
        <v>-97.9005840653779</v>
      </c>
    </row>
    <row r="6" customFormat="false" ht="15" hidden="false" customHeight="true" outlineLevel="0" collapsed="false">
      <c r="A6" s="5" t="str">
        <f aca="false">Calculations!B5</f>
        <v>8/15/2026</v>
      </c>
      <c r="B6" s="12" t="n">
        <f aca="false">Inputs!$B$6</f>
        <v>1.75</v>
      </c>
      <c r="C6" s="5" t="str">
        <f aca="false">TEXT(Inputs!$E$6,"0.0000")&amp;"·I1"</f>
        <v>0.5625·I1</v>
      </c>
      <c r="D6" s="5" t="str">
        <f aca="false">TEXT(Inputs!$E$6,"0.0000")&amp;"·(F1−I1)"</f>
        <v>0.5625·(F1−I1)</v>
      </c>
      <c r="E6" s="13" t="n">
        <f aca="false">Calculations!F5</f>
        <v>1.18138573920547</v>
      </c>
      <c r="F6" s="12" t="n">
        <f aca="false">Calculations!G5</f>
        <v>98.515</v>
      </c>
      <c r="G6" s="24" t="n">
        <f aca="false">Inputs!$B$6</f>
        <v>1.75</v>
      </c>
    </row>
    <row r="7" customFormat="false" ht="15" hidden="false" customHeight="true" outlineLevel="0" collapsed="false">
      <c r="A7" s="6" t="str">
        <f aca="false">Calculations!B6</f>
        <v>2/15/2027</v>
      </c>
      <c r="B7" s="14" t="n">
        <f aca="false">Inputs!$B$6</f>
        <v>1.75</v>
      </c>
      <c r="C7" s="6" t="str">
        <f aca="false">TEXT(Inputs!$E$6,"0.0000")&amp;"·I2"</f>
        <v>0.5625·I2</v>
      </c>
      <c r="D7" s="6" t="str">
        <f aca="false">TEXT(Inputs!$E$6,"0.0000")&amp;"·(F2−I2)"</f>
        <v>0.5625·(F2−I2)</v>
      </c>
      <c r="E7" s="15" t="n">
        <f aca="false">Calculations!F6</f>
        <v>1.17369147812175</v>
      </c>
      <c r="F7" s="14" t="n">
        <f aca="false">Calculations!G6</f>
        <v>96.8006</v>
      </c>
      <c r="G7" s="24" t="n">
        <f aca="false">Inputs!$B$6</f>
        <v>1.75</v>
      </c>
    </row>
    <row r="8" customFormat="false" ht="15" hidden="false" customHeight="true" outlineLevel="0" collapsed="false">
      <c r="A8" s="5" t="str">
        <f aca="false">Calculations!B7</f>
        <v>8/15/2027</v>
      </c>
      <c r="B8" s="12" t="n">
        <f aca="false">Inputs!$B$6</f>
        <v>1.75</v>
      </c>
      <c r="C8" s="5" t="str">
        <f aca="false">TEXT(Inputs!$E$6,"0.0000")&amp;"·I3"</f>
        <v>0.5625·I3</v>
      </c>
      <c r="D8" s="5" t="str">
        <f aca="false">TEXT(Inputs!$E$6,"0.0000")&amp;"·(F3−I3)"</f>
        <v>0.5625·(F3−I3)</v>
      </c>
      <c r="E8" s="13" t="n">
        <f aca="false">Calculations!F7</f>
        <v>1.16674769102099</v>
      </c>
      <c r="F8" s="12" t="n">
        <f aca="false">Calculations!G7</f>
        <v>94.882</v>
      </c>
      <c r="G8" s="24" t="n">
        <f aca="false">Inputs!$B$6</f>
        <v>1.75</v>
      </c>
    </row>
    <row r="9" customFormat="false" ht="15" hidden="false" customHeight="true" outlineLevel="0" collapsed="false">
      <c r="A9" s="6" t="str">
        <f aca="false">Calculations!B8</f>
        <v>2/15/2028</v>
      </c>
      <c r="B9" s="14" t="n">
        <f aca="false">Inputs!$B$6</f>
        <v>1.75</v>
      </c>
      <c r="C9" s="6" t="str">
        <f aca="false">TEXT(Inputs!$E$6,"0.0000")&amp;"·I4"</f>
        <v>0.5625·I4</v>
      </c>
      <c r="D9" s="6" t="str">
        <f aca="false">TEXT(Inputs!$E$6,"0.0000")&amp;"·(F4−I4)"</f>
        <v>0.5625·(F4−I4)</v>
      </c>
      <c r="E9" s="15" t="n">
        <f aca="false">Calculations!F8</f>
        <v>1.16011881176567</v>
      </c>
      <c r="F9" s="14" t="n">
        <f aca="false">Calculations!G8</f>
        <v>93.0997</v>
      </c>
      <c r="G9" s="24" t="n">
        <f aca="false">Inputs!$B$6</f>
        <v>1.75</v>
      </c>
    </row>
    <row r="10" customFormat="false" ht="15" hidden="false" customHeight="true" outlineLevel="0" collapsed="false">
      <c r="A10" s="5" t="str">
        <f aca="false">Calculations!B9</f>
        <v>8/15/2028</v>
      </c>
      <c r="B10" s="12" t="n">
        <f aca="false">Inputs!$B$6</f>
        <v>1.75</v>
      </c>
      <c r="C10" s="5" t="str">
        <f aca="false">TEXT(Inputs!$E$6,"0.0000")&amp;"·I5"</f>
        <v>0.5625·I5</v>
      </c>
      <c r="D10" s="5" t="str">
        <f aca="false">TEXT(Inputs!$E$6,"0.0000")&amp;"·(F5−I5)"</f>
        <v>0.5625·(F5−I5)</v>
      </c>
      <c r="E10" s="13" t="n">
        <f aca="false">Calculations!F9</f>
        <v>1.15306757259903</v>
      </c>
      <c r="F10" s="12" t="n">
        <f aca="false">Calculations!G9</f>
        <v>91.3442</v>
      </c>
      <c r="G10" s="24" t="n">
        <f aca="false">Inputs!$B$6</f>
        <v>1.75</v>
      </c>
    </row>
    <row r="11" customFormat="false" ht="15" hidden="false" customHeight="true" outlineLevel="0" collapsed="false">
      <c r="A11" s="6" t="str">
        <f aca="false">Calculations!B10</f>
        <v>2/15/2029</v>
      </c>
      <c r="B11" s="14" t="n">
        <f aca="false">Inputs!$B$6</f>
        <v>1.75</v>
      </c>
      <c r="C11" s="6" t="str">
        <f aca="false">TEXT(Inputs!$E$6,"0.0000")&amp;"·I6"</f>
        <v>0.5625·I6</v>
      </c>
      <c r="D11" s="6" t="str">
        <f aca="false">TEXT(Inputs!$E$6,"0.0000")&amp;"·(F6−I6)"</f>
        <v>0.5625·(F6−I6)</v>
      </c>
      <c r="E11" s="15" t="n">
        <f aca="false">Calculations!F10</f>
        <v>1.14598333737534</v>
      </c>
      <c r="F11" s="14" t="n">
        <f aca="false">Calculations!G10</f>
        <v>89.613</v>
      </c>
      <c r="G11" s="24" t="n">
        <f aca="false">Inputs!$B$6</f>
        <v>1.75</v>
      </c>
    </row>
    <row r="12" customFormat="false" ht="15" hidden="false" customHeight="true" outlineLevel="0" collapsed="false">
      <c r="A12" s="5" t="str">
        <f aca="false">Calculations!B11</f>
        <v>8/15/2029</v>
      </c>
      <c r="B12" s="12" t="n">
        <f aca="false">Inputs!$B$6</f>
        <v>1.75</v>
      </c>
      <c r="C12" s="5" t="str">
        <f aca="false">TEXT(Inputs!$E$6,"0.0000")&amp;"·I7"</f>
        <v>0.5625·I7</v>
      </c>
      <c r="D12" s="5" t="str">
        <f aca="false">TEXT(Inputs!$E$6,"0.0000")&amp;"·(F7−I7)"</f>
        <v>0.5625·(F7−I7)</v>
      </c>
      <c r="E12" s="13" t="n">
        <f aca="false">Calculations!F11</f>
        <v>1.13887902548591</v>
      </c>
      <c r="F12" s="12" t="n">
        <f aca="false">Calculations!G11</f>
        <v>87.8689</v>
      </c>
      <c r="G12" s="24" t="n">
        <f aca="false">Inputs!$B$6</f>
        <v>1.75</v>
      </c>
    </row>
    <row r="13" customFormat="false" ht="15" hidden="false" customHeight="true" outlineLevel="0" collapsed="false">
      <c r="A13" s="6" t="str">
        <f aca="false">Calculations!B12</f>
        <v>2/15/2030</v>
      </c>
      <c r="B13" s="14" t="n">
        <f aca="false">Inputs!$B$6</f>
        <v>1.75</v>
      </c>
      <c r="C13" s="6" t="str">
        <f aca="false">TEXT(Inputs!$E$6,"0.0000")&amp;"·I8"</f>
        <v>0.5625·I8</v>
      </c>
      <c r="D13" s="6" t="str">
        <f aca="false">TEXT(Inputs!$E$6,"0.0000")&amp;"·(F8−I8)"</f>
        <v>0.5625·(F8−I8)</v>
      </c>
      <c r="E13" s="15" t="n">
        <f aca="false">Calculations!F12</f>
        <v>1.13164595559165</v>
      </c>
      <c r="F13" s="14" t="n">
        <f aca="false">Calculations!G12</f>
        <v>86.122</v>
      </c>
      <c r="G13" s="24" t="n">
        <f aca="false">Inputs!$B$6</f>
        <v>1.75</v>
      </c>
    </row>
    <row r="14" customFormat="false" ht="15" hidden="false" customHeight="true" outlineLevel="0" collapsed="false">
      <c r="A14" s="5" t="str">
        <f aca="false">Calculations!B13</f>
        <v>8/15/2030</v>
      </c>
      <c r="B14" s="12" t="n">
        <f aca="false">Inputs!$B$6</f>
        <v>1.75</v>
      </c>
      <c r="C14" s="5" t="str">
        <f aca="false">TEXT(Inputs!$E$6,"0.0000")&amp;"·I9"</f>
        <v>0.5625·I9</v>
      </c>
      <c r="D14" s="5" t="str">
        <f aca="false">TEXT(Inputs!$E$6,"0.0000")&amp;"·(F9−I9)"</f>
        <v>0.5625·(F9−I9)</v>
      </c>
      <c r="E14" s="13" t="n">
        <f aca="false">Calculations!F13</f>
        <v>1.12459830583113</v>
      </c>
      <c r="F14" s="12" t="n">
        <f aca="false">Calculations!G13</f>
        <v>84.3968</v>
      </c>
      <c r="G14" s="24" t="n">
        <f aca="false">Inputs!$B$6</f>
        <v>1.75</v>
      </c>
    </row>
    <row r="15" customFormat="false" ht="15" hidden="false" customHeight="true" outlineLevel="0" collapsed="false">
      <c r="A15" s="6" t="str">
        <f aca="false">Calculations!B14</f>
        <v>2/15/2031</v>
      </c>
      <c r="B15" s="14" t="n">
        <f aca="false">Inputs!$B$6</f>
        <v>1.75</v>
      </c>
      <c r="C15" s="6" t="str">
        <f aca="false">TEXT(Inputs!$E$6,"0.0000")&amp;"·I10"</f>
        <v>0.5625·I10</v>
      </c>
      <c r="D15" s="6" t="str">
        <f aca="false">TEXT(Inputs!$E$6,"0.0000")&amp;"·(F10−I10)"</f>
        <v>0.5625·(F10−I10)</v>
      </c>
      <c r="E15" s="15" t="n">
        <f aca="false">Calculations!F14</f>
        <v>1.11744103238681</v>
      </c>
      <c r="F15" s="14" t="n">
        <f aca="false">Calculations!G14</f>
        <v>82.6731</v>
      </c>
      <c r="G15" s="24" t="n">
        <f aca="false">Inputs!$B$6</f>
        <v>1.75</v>
      </c>
    </row>
    <row r="16" customFormat="false" ht="15" hidden="false" customHeight="true" outlineLevel="0" collapsed="false">
      <c r="A16" s="5" t="str">
        <f aca="false">Calculations!B15</f>
        <v>8/15/2031</v>
      </c>
      <c r="B16" s="12" t="n">
        <f aca="false">Inputs!$B$6</f>
        <v>1.75</v>
      </c>
      <c r="C16" s="5" t="str">
        <f aca="false">TEXT(Inputs!$E$6,"0.0000")&amp;"·I11"</f>
        <v>0.5625·I11</v>
      </c>
      <c r="D16" s="5" t="str">
        <f aca="false">TEXT(Inputs!$E$6,"0.0000")&amp;"·(F11−I11)"</f>
        <v>0.5625·(F11−I11)</v>
      </c>
      <c r="E16" s="13" t="n">
        <f aca="false">Calculations!F15</f>
        <v>1.10949549614761</v>
      </c>
      <c r="F16" s="12" t="n">
        <f aca="false">Calculations!G15</f>
        <v>80.9573</v>
      </c>
      <c r="G16" s="24" t="n">
        <f aca="false">Inputs!$B$6</f>
        <v>1.75</v>
      </c>
    </row>
    <row r="17" customFormat="false" ht="15" hidden="false" customHeight="true" outlineLevel="0" collapsed="false">
      <c r="A17" s="6" t="str">
        <f aca="false">Calculations!B16</f>
        <v>2/15/2032</v>
      </c>
      <c r="B17" s="14" t="n">
        <f aca="false">Inputs!$B$6</f>
        <v>1.75</v>
      </c>
      <c r="C17" s="6" t="str">
        <f aca="false">TEXT(Inputs!$E$6,"0.0000")&amp;"·I12"</f>
        <v>0.5625·I12</v>
      </c>
      <c r="D17" s="6" t="str">
        <f aca="false">TEXT(Inputs!$E$6,"0.0000")&amp;"·(F12−I12)"</f>
        <v>0.5625·(F12−I12)</v>
      </c>
      <c r="E17" s="15" t="n">
        <f aca="false">Calculations!F16</f>
        <v>1.10124623946748</v>
      </c>
      <c r="F17" s="14" t="n">
        <f aca="false">Calculations!G16</f>
        <v>79.1574</v>
      </c>
      <c r="G17" s="24" t="n">
        <f aca="false">Inputs!$B$6</f>
        <v>1.75</v>
      </c>
    </row>
    <row r="18" customFormat="false" ht="15" hidden="false" customHeight="true" outlineLevel="0" collapsed="false">
      <c r="A18" s="5" t="str">
        <f aca="false">Calculations!B17</f>
        <v>8/15/2032</v>
      </c>
      <c r="B18" s="12" t="n">
        <f aca="false">Inputs!$B$6</f>
        <v>1.75</v>
      </c>
      <c r="C18" s="5" t="str">
        <f aca="false">TEXT(Inputs!$E$6,"0.0000")&amp;"·I13"</f>
        <v>0.5625·I13</v>
      </c>
      <c r="D18" s="5" t="str">
        <f aca="false">TEXT(Inputs!$E$6,"0.0000")&amp;"·(F13−I13)"</f>
        <v>0.5625·(F13−I13)</v>
      </c>
      <c r="E18" s="13" t="n">
        <f aca="false">Calculations!F17</f>
        <v>1.09378344679559</v>
      </c>
      <c r="F18" s="12" t="n">
        <f aca="false">Calculations!G17</f>
        <v>77.4806</v>
      </c>
      <c r="G18" s="24" t="n">
        <f aca="false">Inputs!$B$6</f>
        <v>1.75</v>
      </c>
    </row>
    <row r="19" customFormat="false" ht="15" hidden="false" customHeight="true" outlineLevel="0" collapsed="false">
      <c r="A19" s="6" t="str">
        <f aca="false">Calculations!B18</f>
        <v>2/15/2033</v>
      </c>
      <c r="B19" s="25" t="n">
        <f aca="false">Inputs!$B$6+100</f>
        <v>101.75</v>
      </c>
      <c r="C19" s="21" t="str">
        <f aca="false">TEXT(Inputs!$E$6+100,"0.0000")&amp;"·I14"</f>
        <v>100.5625·I14</v>
      </c>
      <c r="D19" s="21" t="str">
        <f aca="false">TEXT(Inputs!$E$6+100,"0.0000")&amp;"·(F14−I14)"</f>
        <v>100.5625·(F14−I14)</v>
      </c>
      <c r="E19" s="15" t="n">
        <f aca="false">Calculations!F18</f>
        <v>-16.9210590909202</v>
      </c>
      <c r="F19" s="14" t="n">
        <f aca="false">Calculations!G18</f>
        <v>75.6917</v>
      </c>
      <c r="G19" s="24" t="n">
        <f aca="false">Inputs!$B$6+100</f>
        <v>101.75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3" activeCellId="0" sqref="E23"/>
    </sheetView>
  </sheetViews>
  <sheetFormatPr defaultColWidth="8.66796875" defaultRowHeight="15" customHeight="false" zeroHeight="false" outlineLevelRow="0" outlineLevelCol="0"/>
  <cols>
    <col collapsed="false" customWidth="true" hidden="false" outlineLevel="0" max="1" min="1" style="0" width="23.67"/>
    <col collapsed="false" customWidth="true" hidden="false" outlineLevel="0" max="2" min="2" style="0" width="20.66"/>
    <col collapsed="false" customWidth="true" hidden="false" outlineLevel="0" max="3" min="3" style="0" width="34.83"/>
  </cols>
  <sheetData>
    <row r="1" customFormat="false" ht="19.5" hidden="false" customHeight="true" outlineLevel="0" collapsed="false">
      <c r="A1" s="1" t="s">
        <v>91</v>
      </c>
      <c r="B1" s="1"/>
      <c r="C1" s="1"/>
    </row>
    <row r="3" customFormat="false" ht="15" hidden="false" customHeight="false" outlineLevel="0" collapsed="false">
      <c r="A3" s="3" t="s">
        <v>92</v>
      </c>
      <c r="B3" s="3" t="s">
        <v>93</v>
      </c>
      <c r="C3" s="3" t="s">
        <v>94</v>
      </c>
    </row>
    <row r="4" customFormat="false" ht="15" hidden="false" customHeight="false" outlineLevel="0" collapsed="false">
      <c r="A4" s="26" t="s">
        <v>95</v>
      </c>
      <c r="B4" s="27" t="n">
        <f aca="false">Inputs!B5</f>
        <v>96.9284357734807</v>
      </c>
      <c r="C4" s="28" t="s">
        <v>96</v>
      </c>
    </row>
    <row r="5" customFormat="false" ht="15" hidden="false" customHeight="false" outlineLevel="0" collapsed="false">
      <c r="A5" s="26" t="s">
        <v>97</v>
      </c>
      <c r="B5" s="27" t="n">
        <f aca="false">Inputs!E5</f>
        <v>97.6754575276243</v>
      </c>
      <c r="C5" s="28" t="s">
        <v>98</v>
      </c>
    </row>
    <row r="6" customFormat="false" ht="15" hidden="false" customHeight="false" outlineLevel="0" collapsed="false">
      <c r="A6" s="26" t="s">
        <v>99</v>
      </c>
      <c r="B6" s="27" t="n">
        <f aca="false">Calculations!H19</f>
        <v>0.225126537753607</v>
      </c>
      <c r="C6" s="28" t="s">
        <v>100</v>
      </c>
    </row>
    <row r="7" customFormat="false" ht="20.85" hidden="false" customHeight="false" outlineLevel="0" collapsed="false">
      <c r="A7" s="26" t="s">
        <v>101</v>
      </c>
      <c r="B7" s="27" t="n">
        <f aca="false">Inputs!E5 + Calculations!H19</f>
        <v>97.9005840653779</v>
      </c>
      <c r="C7" s="28" t="s">
        <v>102</v>
      </c>
    </row>
    <row r="8" customFormat="false" ht="30" hidden="false" customHeight="true" outlineLevel="0" collapsed="false">
      <c r="A8" s="29" t="s">
        <v>103</v>
      </c>
      <c r="B8" s="30" t="n">
        <f aca="false">Inputs!B5 - (Inputs!E5 + Calculations!H19)</f>
        <v>-0.972148291897256</v>
      </c>
      <c r="C8" s="28" t="s">
        <v>104</v>
      </c>
    </row>
    <row r="9" customFormat="false" ht="30" hidden="false" customHeight="true" outlineLevel="0" collapsed="false">
      <c r="A9" s="26" t="s">
        <v>105</v>
      </c>
      <c r="B9" s="31" t="str">
        <f aca="false">IF(B8&lt;0,"TIPS relatively expensive (Treasury cheap)","Treasury relatively expensive (TIPS cheap)")</f>
        <v>TIPS relatively expensive (Treasury cheap)</v>
      </c>
      <c r="C9" s="28" t="s">
        <v>106</v>
      </c>
    </row>
    <row r="10" customFormat="false" ht="7.5" hidden="false" customHeight="true" outlineLevel="0" collapsed="false"/>
    <row r="11" customFormat="false" ht="19.5" hidden="false" customHeight="true" outlineLevel="0" collapsed="false">
      <c r="A11" s="32" t="s">
        <v>107</v>
      </c>
      <c r="B11" s="32"/>
      <c r="C11" s="32"/>
    </row>
    <row r="12" customFormat="false" ht="79.5" hidden="false" customHeight="true" outlineLevel="0" collapsed="false">
      <c r="A12" s="33" t="s">
        <v>108</v>
      </c>
      <c r="B12" s="33"/>
      <c r="C12" s="33"/>
    </row>
  </sheetData>
  <mergeCells count="3">
    <mergeCell ref="A1:C1"/>
    <mergeCell ref="A11:C11"/>
    <mergeCell ref="A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48"/>
    <col collapsed="false" customWidth="true" hidden="false" outlineLevel="0" max="3" min="3" style="0" width="40"/>
    <col collapsed="false" customWidth="true" hidden="false" outlineLevel="0" max="4" min="4" style="0" width="90"/>
  </cols>
  <sheetData>
    <row r="1" customFormat="false" ht="15" hidden="false" customHeight="false" outlineLevel="0" collapsed="false">
      <c r="A1" s="34" t="s">
        <v>109</v>
      </c>
      <c r="B1" s="34" t="s">
        <v>110</v>
      </c>
      <c r="C1" s="34" t="s">
        <v>111</v>
      </c>
      <c r="D1" s="34" t="s">
        <v>112</v>
      </c>
    </row>
    <row r="2" customFormat="false" ht="15" hidden="false" customHeight="false" outlineLevel="0" collapsed="false">
      <c r="A2" s="0" t="s">
        <v>113</v>
      </c>
      <c r="B2" s="0" t="s">
        <v>114</v>
      </c>
      <c r="C2" s="0" t="s">
        <v>115</v>
      </c>
      <c r="D2" s="0" t="s">
        <v>116</v>
      </c>
    </row>
    <row r="3" customFormat="false" ht="15" hidden="false" customHeight="false" outlineLevel="0" collapsed="false">
      <c r="A3" s="0" t="s">
        <v>117</v>
      </c>
      <c r="B3" s="0" t="s">
        <v>118</v>
      </c>
      <c r="C3" s="0" t="s">
        <v>119</v>
      </c>
      <c r="D3" s="0" t="s">
        <v>120</v>
      </c>
    </row>
    <row r="4" customFormat="false" ht="15" hidden="false" customHeight="false" outlineLevel="0" collapsed="false">
      <c r="A4" s="0" t="s">
        <v>121</v>
      </c>
      <c r="B4" s="0" t="s">
        <v>122</v>
      </c>
      <c r="C4" s="0" t="s">
        <v>123</v>
      </c>
      <c r="D4" s="0" t="s">
        <v>124</v>
      </c>
    </row>
    <row r="5" customFormat="false" ht="15" hidden="false" customHeight="false" outlineLevel="0" collapsed="false">
      <c r="A5" s="0" t="s">
        <v>125</v>
      </c>
      <c r="B5" s="0" t="s">
        <v>126</v>
      </c>
      <c r="C5" s="0" t="s">
        <v>127</v>
      </c>
      <c r="D5" s="0" t="s">
        <v>128</v>
      </c>
    </row>
    <row r="6" customFormat="false" ht="15" hidden="false" customHeight="false" outlineLevel="0" collapsed="false">
      <c r="A6" s="0" t="s">
        <v>129</v>
      </c>
      <c r="B6" s="0" t="s">
        <v>130</v>
      </c>
      <c r="C6" s="0" t="s">
        <v>131</v>
      </c>
      <c r="D6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LibreOffice/26.8.1.1$MacOSX_AARCH64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2026-03-19T21:22:54Z</dcterms:created>
  <dc:creator>Aaryan</dc:creator>
  <dc:description/>
  <dc:language>en-US</dc:language>
  <cp:lastModifiedBy>James Huang</cp:lastModifiedBy>
  <dcterms:modified xsi:type="dcterms:W3CDTF">2026-10-23T18:59:55Z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