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aaryannannapaneni/Downloads/"/>
    </mc:Choice>
  </mc:AlternateContent>
  <xr:revisionPtr revIDLastSave="0" documentId="13_ncr:1_{D3FCA5F0-A99C-3B47-B03C-0B89CAD5CE33}" xr6:coauthVersionLast="47" xr6:coauthVersionMax="47" xr10:uidLastSave="{00000000-0000-0000-0000-000000000000}"/>
  <bookViews>
    <workbookView xWindow="0" yWindow="660" windowWidth="34560" windowHeight="21680" tabRatio="500" activeTab="2" xr2:uid="{00000000-000D-0000-FFFF-FFFF00000000}"/>
  </bookViews>
  <sheets>
    <sheet name="Q1 Direct Lending" sheetId="1" r:id="rId1"/>
    <sheet name="Q2 Scenario &amp; D-Bond" sheetId="2" r:id="rId2"/>
    <sheet name="Q3 D-Bond Pricing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8" i="1" l="1"/>
  <c r="B17" i="1"/>
  <c r="B16" i="1"/>
  <c r="B15" i="1"/>
  <c r="C82" i="1" s="1"/>
  <c r="B14" i="1"/>
  <c r="C106" i="3"/>
  <c r="B106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B27" i="3"/>
  <c r="B16" i="3"/>
  <c r="B7" i="3"/>
  <c r="C98" i="2"/>
  <c r="C94" i="3" s="1"/>
  <c r="E94" i="3" s="1"/>
  <c r="C86" i="2"/>
  <c r="E86" i="2" s="1"/>
  <c r="C85" i="2"/>
  <c r="E85" i="2" s="1"/>
  <c r="C77" i="2"/>
  <c r="C73" i="3" s="1"/>
  <c r="E73" i="3" s="1"/>
  <c r="C76" i="2"/>
  <c r="E76" i="2" s="1"/>
  <c r="C75" i="2"/>
  <c r="C71" i="3" s="1"/>
  <c r="C72" i="2"/>
  <c r="C68" i="3" s="1"/>
  <c r="C59" i="2"/>
  <c r="C55" i="3" s="1"/>
  <c r="D58" i="2"/>
  <c r="D54" i="3" s="1"/>
  <c r="D57" i="2"/>
  <c r="D53" i="3" s="1"/>
  <c r="D56" i="2"/>
  <c r="D52" i="3" s="1"/>
  <c r="C56" i="2"/>
  <c r="E56" i="2" s="1"/>
  <c r="C49" i="2"/>
  <c r="D44" i="2"/>
  <c r="D40" i="3" s="1"/>
  <c r="C44" i="2"/>
  <c r="C40" i="3" s="1"/>
  <c r="D43" i="2"/>
  <c r="D39" i="3" s="1"/>
  <c r="D42" i="2"/>
  <c r="D38" i="3" s="1"/>
  <c r="D41" i="2"/>
  <c r="D37" i="3" s="1"/>
  <c r="F30" i="2"/>
  <c r="C93" i="2" s="1"/>
  <c r="B25" i="2"/>
  <c r="B24" i="2"/>
  <c r="B26" i="2" s="1"/>
  <c r="B22" i="2"/>
  <c r="B23" i="2" s="1"/>
  <c r="B87" i="1"/>
  <c r="E23" i="1"/>
  <c r="E68" i="3" l="1"/>
  <c r="E71" i="3"/>
  <c r="D51" i="2"/>
  <c r="D47" i="3" s="1"/>
  <c r="C66" i="2"/>
  <c r="C97" i="2"/>
  <c r="C93" i="3" s="1"/>
  <c r="E93" i="3" s="1"/>
  <c r="D63" i="2"/>
  <c r="D59" i="3" s="1"/>
  <c r="E49" i="2"/>
  <c r="D49" i="2"/>
  <c r="D45" i="3" s="1"/>
  <c r="C64" i="2"/>
  <c r="C87" i="2"/>
  <c r="C83" i="3" s="1"/>
  <c r="E83" i="3" s="1"/>
  <c r="C50" i="2"/>
  <c r="D64" i="2"/>
  <c r="D60" i="3" s="1"/>
  <c r="C88" i="2"/>
  <c r="C84" i="3" s="1"/>
  <c r="E84" i="3" s="1"/>
  <c r="C69" i="2"/>
  <c r="C65" i="3" s="1"/>
  <c r="E65" i="3" s="1"/>
  <c r="C51" i="2"/>
  <c r="E51" i="2" s="1"/>
  <c r="C65" i="2"/>
  <c r="C61" i="3" s="1"/>
  <c r="C89" i="2"/>
  <c r="E89" i="2" s="1"/>
  <c r="E44" i="2"/>
  <c r="E75" i="2"/>
  <c r="C45" i="2"/>
  <c r="C41" i="3" s="1"/>
  <c r="D52" i="2"/>
  <c r="D48" i="3" s="1"/>
  <c r="D59" i="2"/>
  <c r="D55" i="3" s="1"/>
  <c r="E55" i="3" s="1"/>
  <c r="D66" i="2"/>
  <c r="D62" i="3" s="1"/>
  <c r="C78" i="2"/>
  <c r="C74" i="3" s="1"/>
  <c r="E74" i="3" s="1"/>
  <c r="C90" i="2"/>
  <c r="C60" i="3"/>
  <c r="E60" i="3" s="1"/>
  <c r="C39" i="2"/>
  <c r="C46" i="2"/>
  <c r="D53" i="2"/>
  <c r="D49" i="3" s="1"/>
  <c r="C60" i="2"/>
  <c r="E60" i="2" s="1"/>
  <c r="D67" i="2"/>
  <c r="D63" i="3" s="1"/>
  <c r="C79" i="2"/>
  <c r="D46" i="2"/>
  <c r="D42" i="3" s="1"/>
  <c r="C80" i="2"/>
  <c r="C40" i="2"/>
  <c r="D61" i="2"/>
  <c r="D57" i="3" s="1"/>
  <c r="C70" i="2"/>
  <c r="C95" i="2"/>
  <c r="E95" i="2" s="1"/>
  <c r="D39" i="2"/>
  <c r="D35" i="3" s="1"/>
  <c r="C54" i="2"/>
  <c r="C61" i="2"/>
  <c r="E69" i="2"/>
  <c r="C92" i="2"/>
  <c r="C88" i="3" s="1"/>
  <c r="E88" i="3" s="1"/>
  <c r="D47" i="2"/>
  <c r="D43" i="3" s="1"/>
  <c r="D54" i="2"/>
  <c r="D50" i="3" s="1"/>
  <c r="C41" i="2"/>
  <c r="E41" i="2" s="1"/>
  <c r="D48" i="2"/>
  <c r="D44" i="3" s="1"/>
  <c r="C55" i="2"/>
  <c r="D62" i="2"/>
  <c r="D58" i="3" s="1"/>
  <c r="C82" i="2"/>
  <c r="C78" i="3" s="1"/>
  <c r="E78" i="3" s="1"/>
  <c r="C96" i="2"/>
  <c r="E96" i="2" s="1"/>
  <c r="C45" i="3"/>
  <c r="B27" i="2"/>
  <c r="B28" i="2" s="1"/>
  <c r="C89" i="3"/>
  <c r="E89" i="3" s="1"/>
  <c r="E93" i="2"/>
  <c r="E40" i="3"/>
  <c r="E44" i="1"/>
  <c r="D83" i="1"/>
  <c r="E27" i="1"/>
  <c r="E32" i="1"/>
  <c r="E37" i="1"/>
  <c r="E42" i="1"/>
  <c r="E47" i="1"/>
  <c r="E52" i="1"/>
  <c r="E57" i="1"/>
  <c r="E62" i="1"/>
  <c r="E67" i="1"/>
  <c r="E72" i="1"/>
  <c r="E77" i="1"/>
  <c r="E82" i="1"/>
  <c r="B31" i="2"/>
  <c r="C36" i="3"/>
  <c r="C46" i="3"/>
  <c r="C51" i="3"/>
  <c r="C56" i="3"/>
  <c r="C81" i="3"/>
  <c r="E81" i="3" s="1"/>
  <c r="E24" i="1"/>
  <c r="E74" i="1"/>
  <c r="E98" i="2"/>
  <c r="C28" i="1"/>
  <c r="C38" i="1"/>
  <c r="C43" i="1"/>
  <c r="C48" i="1"/>
  <c r="C53" i="1"/>
  <c r="C58" i="1"/>
  <c r="C63" i="1"/>
  <c r="C68" i="1"/>
  <c r="C73" i="1"/>
  <c r="C83" i="1"/>
  <c r="E34" i="1"/>
  <c r="E39" i="1"/>
  <c r="E49" i="1"/>
  <c r="E54" i="1"/>
  <c r="E59" i="1"/>
  <c r="E64" i="1"/>
  <c r="E69" i="1"/>
  <c r="E79" i="1"/>
  <c r="E88" i="2"/>
  <c r="C33" i="1"/>
  <c r="C78" i="1"/>
  <c r="D40" i="2"/>
  <c r="D36" i="3" s="1"/>
  <c r="D45" i="2"/>
  <c r="D41" i="3" s="1"/>
  <c r="D50" i="2"/>
  <c r="D46" i="3" s="1"/>
  <c r="D55" i="2"/>
  <c r="D51" i="3" s="1"/>
  <c r="D60" i="2"/>
  <c r="D56" i="3" s="1"/>
  <c r="D65" i="2"/>
  <c r="D61" i="3" s="1"/>
  <c r="C74" i="2"/>
  <c r="E74" i="2" s="1"/>
  <c r="E77" i="2"/>
  <c r="C84" i="2"/>
  <c r="C94" i="2"/>
  <c r="E97" i="2"/>
  <c r="E28" i="1"/>
  <c r="E33" i="1"/>
  <c r="E38" i="1"/>
  <c r="E43" i="1"/>
  <c r="E48" i="1"/>
  <c r="E53" i="1"/>
  <c r="E58" i="1"/>
  <c r="E63" i="1"/>
  <c r="E68" i="1"/>
  <c r="E73" i="1"/>
  <c r="E78" i="1"/>
  <c r="C24" i="1"/>
  <c r="C29" i="1"/>
  <c r="C34" i="1"/>
  <c r="C39" i="1"/>
  <c r="C44" i="1"/>
  <c r="C49" i="1"/>
  <c r="C54" i="1"/>
  <c r="C59" i="1"/>
  <c r="C64" i="1"/>
  <c r="C69" i="1"/>
  <c r="C74" i="1"/>
  <c r="C79" i="1"/>
  <c r="C43" i="2"/>
  <c r="C48" i="2"/>
  <c r="C53" i="2"/>
  <c r="C58" i="2"/>
  <c r="C63" i="2"/>
  <c r="C68" i="2"/>
  <c r="C71" i="2"/>
  <c r="C81" i="2"/>
  <c r="C91" i="2"/>
  <c r="C42" i="3"/>
  <c r="E42" i="3" s="1"/>
  <c r="C47" i="3"/>
  <c r="E47" i="3" s="1"/>
  <c r="C52" i="3"/>
  <c r="E52" i="3" s="1"/>
  <c r="C57" i="3"/>
  <c r="C62" i="3"/>
  <c r="E62" i="3" s="1"/>
  <c r="C72" i="3"/>
  <c r="E72" i="3" s="1"/>
  <c r="C82" i="3"/>
  <c r="E82" i="3" s="1"/>
  <c r="C92" i="3"/>
  <c r="E92" i="3" s="1"/>
  <c r="E29" i="1"/>
  <c r="C25" i="1"/>
  <c r="C30" i="1"/>
  <c r="C35" i="1"/>
  <c r="C40" i="1"/>
  <c r="C45" i="1"/>
  <c r="C50" i="1"/>
  <c r="C55" i="1"/>
  <c r="C60" i="1"/>
  <c r="C65" i="1"/>
  <c r="C70" i="1"/>
  <c r="C80" i="1"/>
  <c r="C75" i="1"/>
  <c r="E25" i="1"/>
  <c r="E30" i="1"/>
  <c r="E35" i="1"/>
  <c r="E40" i="1"/>
  <c r="E45" i="1"/>
  <c r="E50" i="1"/>
  <c r="E55" i="1"/>
  <c r="E60" i="1"/>
  <c r="E65" i="1"/>
  <c r="E70" i="1"/>
  <c r="E75" i="1"/>
  <c r="E80" i="1"/>
  <c r="C26" i="1"/>
  <c r="C36" i="1"/>
  <c r="C46" i="1"/>
  <c r="C56" i="1"/>
  <c r="C66" i="1"/>
  <c r="C76" i="1"/>
  <c r="E72" i="2"/>
  <c r="E82" i="2"/>
  <c r="E92" i="2"/>
  <c r="C31" i="1"/>
  <c r="C41" i="1"/>
  <c r="C51" i="1"/>
  <c r="C61" i="1"/>
  <c r="C71" i="1"/>
  <c r="C81" i="1"/>
  <c r="E26" i="1"/>
  <c r="E31" i="1"/>
  <c r="E36" i="1"/>
  <c r="E41" i="1"/>
  <c r="E46" i="1"/>
  <c r="E51" i="1"/>
  <c r="E56" i="1"/>
  <c r="E61" i="1"/>
  <c r="E66" i="1"/>
  <c r="E71" i="1"/>
  <c r="E76" i="1"/>
  <c r="E81" i="1"/>
  <c r="C27" i="1"/>
  <c r="C32" i="1"/>
  <c r="C37" i="1"/>
  <c r="C42" i="1"/>
  <c r="C47" i="1"/>
  <c r="C52" i="1"/>
  <c r="C57" i="1"/>
  <c r="C62" i="1"/>
  <c r="C67" i="1"/>
  <c r="C72" i="1"/>
  <c r="C77" i="1"/>
  <c r="C42" i="2"/>
  <c r="C47" i="2"/>
  <c r="C52" i="2"/>
  <c r="C57" i="2"/>
  <c r="C62" i="2"/>
  <c r="C67" i="2"/>
  <c r="C73" i="2"/>
  <c r="C83" i="2"/>
  <c r="B86" i="1" l="1"/>
  <c r="B88" i="1" s="1"/>
  <c r="B19" i="1"/>
  <c r="E83" i="1" s="1"/>
  <c r="E61" i="3"/>
  <c r="E45" i="3"/>
  <c r="E56" i="3"/>
  <c r="E61" i="2"/>
  <c r="E55" i="2"/>
  <c r="E64" i="2"/>
  <c r="E51" i="3"/>
  <c r="E87" i="2"/>
  <c r="C91" i="3"/>
  <c r="E91" i="3" s="1"/>
  <c r="C85" i="3"/>
  <c r="E85" i="3" s="1"/>
  <c r="C76" i="3"/>
  <c r="E76" i="3" s="1"/>
  <c r="E80" i="2"/>
  <c r="E46" i="3"/>
  <c r="E57" i="3"/>
  <c r="E79" i="2"/>
  <c r="C75" i="3"/>
  <c r="E75" i="3" s="1"/>
  <c r="E54" i="2"/>
  <c r="C50" i="3"/>
  <c r="E50" i="3" s="1"/>
  <c r="C37" i="3"/>
  <c r="E37" i="3" s="1"/>
  <c r="E78" i="2"/>
  <c r="E66" i="2"/>
  <c r="E65" i="2"/>
  <c r="E46" i="2"/>
  <c r="E59" i="2"/>
  <c r="C66" i="3"/>
  <c r="E66" i="3" s="1"/>
  <c r="E70" i="2"/>
  <c r="E39" i="2"/>
  <c r="B102" i="2"/>
  <c r="C103" i="3" s="1"/>
  <c r="C35" i="3"/>
  <c r="E35" i="3" s="1"/>
  <c r="C86" i="3"/>
  <c r="E86" i="3" s="1"/>
  <c r="E90" i="2"/>
  <c r="C53" i="3"/>
  <c r="E53" i="3" s="1"/>
  <c r="E57" i="2"/>
  <c r="C64" i="3"/>
  <c r="C87" i="3"/>
  <c r="E87" i="3" s="1"/>
  <c r="E91" i="2"/>
  <c r="C69" i="3"/>
  <c r="E69" i="3" s="1"/>
  <c r="E73" i="2"/>
  <c r="E45" i="2"/>
  <c r="C63" i="3"/>
  <c r="E63" i="3" s="1"/>
  <c r="E67" i="2"/>
  <c r="E81" i="2"/>
  <c r="C77" i="3"/>
  <c r="E77" i="3" s="1"/>
  <c r="C58" i="3"/>
  <c r="E58" i="3" s="1"/>
  <c r="E62" i="2"/>
  <c r="E71" i="2"/>
  <c r="C67" i="3"/>
  <c r="E67" i="3" s="1"/>
  <c r="B30" i="2"/>
  <c r="B32" i="2" s="1"/>
  <c r="B33" i="2" s="1"/>
  <c r="B29" i="2"/>
  <c r="C48" i="3"/>
  <c r="E48" i="3" s="1"/>
  <c r="E52" i="2"/>
  <c r="C54" i="3"/>
  <c r="E54" i="3" s="1"/>
  <c r="E58" i="2"/>
  <c r="C80" i="3"/>
  <c r="E80" i="3" s="1"/>
  <c r="E84" i="2"/>
  <c r="C38" i="3"/>
  <c r="E38" i="3" s="1"/>
  <c r="E42" i="2"/>
  <c r="C49" i="3"/>
  <c r="E49" i="3" s="1"/>
  <c r="E53" i="2"/>
  <c r="E41" i="3"/>
  <c r="E40" i="2"/>
  <c r="E48" i="2"/>
  <c r="C44" i="3"/>
  <c r="E44" i="3" s="1"/>
  <c r="C70" i="3"/>
  <c r="E70" i="3" s="1"/>
  <c r="E36" i="3"/>
  <c r="C90" i="3"/>
  <c r="E90" i="3" s="1"/>
  <c r="E94" i="2"/>
  <c r="C39" i="3"/>
  <c r="E39" i="3" s="1"/>
  <c r="E43" i="2"/>
  <c r="C59" i="3"/>
  <c r="E59" i="3" s="1"/>
  <c r="E63" i="2"/>
  <c r="C43" i="3"/>
  <c r="E43" i="3" s="1"/>
  <c r="E47" i="2"/>
  <c r="C79" i="3"/>
  <c r="E79" i="3" s="1"/>
  <c r="E83" i="2"/>
  <c r="E50" i="2"/>
  <c r="B103" i="3" l="1"/>
  <c r="F39" i="2"/>
  <c r="F40" i="2" s="1"/>
  <c r="F41" i="2" s="1"/>
  <c r="F42" i="2" s="1"/>
  <c r="F43" i="2" s="1"/>
  <c r="F44" i="2" s="1"/>
  <c r="F45" i="2" s="1"/>
  <c r="F46" i="2" s="1"/>
  <c r="F47" i="2" s="1"/>
  <c r="F48" i="2" s="1"/>
  <c r="F49" i="2" s="1"/>
  <c r="F50" i="2" s="1"/>
  <c r="F51" i="2" s="1"/>
  <c r="F52" i="2" s="1"/>
  <c r="F53" i="2" s="1"/>
  <c r="F54" i="2" s="1"/>
  <c r="F55" i="2" s="1"/>
  <c r="F56" i="2" s="1"/>
  <c r="F57" i="2" s="1"/>
  <c r="F58" i="2" s="1"/>
  <c r="F59" i="2" s="1"/>
  <c r="F60" i="2" s="1"/>
  <c r="F61" i="2" s="1"/>
  <c r="F62" i="2" s="1"/>
  <c r="F63" i="2" s="1"/>
  <c r="F64" i="2" s="1"/>
  <c r="F65" i="2" s="1"/>
  <c r="F66" i="2" s="1"/>
  <c r="F67" i="2" s="1"/>
  <c r="B34" i="2"/>
  <c r="F28" i="2" s="1"/>
  <c r="B90" i="1"/>
  <c r="B104" i="3"/>
  <c r="B9" i="3"/>
  <c r="B10" i="3" s="1"/>
  <c r="F29" i="2" l="1"/>
  <c r="F31" i="2"/>
  <c r="F32" i="2" s="1"/>
  <c r="B98" i="3"/>
  <c r="B17" i="3"/>
  <c r="B18" i="3" s="1"/>
  <c r="D68" i="2" l="1"/>
  <c r="F33" i="2"/>
  <c r="D64" i="3" l="1"/>
  <c r="E64" i="3" s="1"/>
  <c r="E68" i="2"/>
  <c r="B101" i="2" s="1"/>
  <c r="B19" i="3"/>
  <c r="B20" i="3" l="1"/>
  <c r="F68" i="2"/>
  <c r="F69" i="2" s="1"/>
  <c r="F70" i="2" s="1"/>
  <c r="F71" i="2" s="1"/>
  <c r="F72" i="2" s="1"/>
  <c r="C104" i="3"/>
  <c r="F73" i="2" l="1"/>
  <c r="F74" i="2" s="1"/>
  <c r="F75" i="2" s="1"/>
  <c r="F76" i="2" s="1"/>
  <c r="F77" i="2" s="1"/>
  <c r="F78" i="2" s="1"/>
  <c r="F79" i="2" s="1"/>
  <c r="F80" i="2" s="1"/>
  <c r="F81" i="2" s="1"/>
  <c r="F82" i="2" s="1"/>
  <c r="F83" i="2" s="1"/>
  <c r="F84" i="2" s="1"/>
  <c r="F85" i="2" s="1"/>
  <c r="F86" i="2" s="1"/>
  <c r="F87" i="2" s="1"/>
  <c r="F88" i="2" s="1"/>
  <c r="F89" i="2" s="1"/>
  <c r="F90" i="2" s="1"/>
  <c r="F91" i="2" s="1"/>
  <c r="F92" i="2" s="1"/>
  <c r="F93" i="2" s="1"/>
  <c r="F94" i="2" s="1"/>
  <c r="F95" i="2" s="1"/>
  <c r="F96" i="2" s="1"/>
  <c r="F97" i="2" s="1"/>
  <c r="F98" i="2" s="1"/>
  <c r="B21" i="3"/>
  <c r="E34" i="3"/>
  <c r="B97" i="3" s="1"/>
  <c r="D34" i="3"/>
  <c r="C34" i="3"/>
  <c r="B99" i="3" s="1"/>
  <c r="D103" i="3" s="1"/>
  <c r="F34" i="3"/>
  <c r="F35" i="3" s="1"/>
  <c r="F36" i="3" s="1"/>
  <c r="F37" i="3" s="1"/>
  <c r="F38" i="3" s="1"/>
  <c r="F39" i="3" s="1"/>
  <c r="F40" i="3" s="1"/>
  <c r="F41" i="3" s="1"/>
  <c r="F42" i="3" s="1"/>
  <c r="F43" i="3" s="1"/>
  <c r="F44" i="3" s="1"/>
  <c r="F45" i="3" s="1"/>
  <c r="F46" i="3" s="1"/>
  <c r="F47" i="3" s="1"/>
  <c r="F48" i="3" s="1"/>
  <c r="F49" i="3" s="1"/>
  <c r="F50" i="3" s="1"/>
  <c r="F51" i="3" s="1"/>
  <c r="F52" i="3" s="1"/>
  <c r="F53" i="3" s="1"/>
  <c r="F54" i="3" s="1"/>
  <c r="F55" i="3" s="1"/>
  <c r="F56" i="3" s="1"/>
  <c r="F57" i="3" s="1"/>
  <c r="F58" i="3" s="1"/>
  <c r="F59" i="3" s="1"/>
  <c r="F60" i="3" s="1"/>
  <c r="F61" i="3" s="1"/>
  <c r="F62" i="3" s="1"/>
  <c r="F63" i="3" s="1"/>
  <c r="F64" i="3" s="1"/>
  <c r="F65" i="3" s="1"/>
  <c r="F66" i="3" s="1"/>
  <c r="F67" i="3" s="1"/>
  <c r="F68" i="3" s="1"/>
  <c r="F69" i="3" s="1"/>
  <c r="F70" i="3" s="1"/>
  <c r="F71" i="3" s="1"/>
  <c r="F72" i="3" s="1"/>
  <c r="F73" i="3" s="1"/>
  <c r="F74" i="3" s="1"/>
  <c r="F75" i="3" s="1"/>
  <c r="F76" i="3" s="1"/>
  <c r="F77" i="3" s="1"/>
  <c r="F78" i="3" s="1"/>
  <c r="F79" i="3" s="1"/>
  <c r="F80" i="3" s="1"/>
  <c r="F81" i="3" s="1"/>
  <c r="F82" i="3" s="1"/>
  <c r="F83" i="3" s="1"/>
  <c r="F84" i="3" s="1"/>
  <c r="F85" i="3" s="1"/>
  <c r="F86" i="3" s="1"/>
  <c r="F87" i="3" s="1"/>
  <c r="F88" i="3" s="1"/>
  <c r="F89" i="3" s="1"/>
  <c r="F90" i="3" s="1"/>
  <c r="F91" i="3" s="1"/>
  <c r="F92" i="3" s="1"/>
  <c r="F93" i="3" s="1"/>
  <c r="F94" i="3" s="1"/>
  <c r="D104" i="3" l="1"/>
  <c r="B26" i="3"/>
  <c r="B22" i="3"/>
  <c r="D105" i="3"/>
  <c r="D106" i="3" l="1"/>
  <c r="B28" i="3"/>
</calcChain>
</file>

<file path=xl/sharedStrings.xml><?xml version="1.0" encoding="utf-8"?>
<sst xmlns="http://schemas.openxmlformats.org/spreadsheetml/2006/main" count="416" uniqueCount="171">
  <si>
    <t>Q1: Direct Mortgage Lending – Monthly Cash Flows &amp; Expected Return</t>
  </si>
  <si>
    <t>ASSUMPTIONS</t>
  </si>
  <si>
    <t>Loan Amount ($)</t>
  </si>
  <si>
    <t>Case: UPL treasury proceeds</t>
  </si>
  <si>
    <t>Coupon Rate (annual)</t>
  </si>
  <si>
    <t>Exhibit 6: 8.0% midpoint for 60-69% LTV</t>
  </si>
  <si>
    <t>Amortization (months)</t>
  </si>
  <si>
    <t>Exhibit 6: 30-year amortization</t>
  </si>
  <si>
    <t>Loan Term (years)</t>
  </si>
  <si>
    <t>Exhibit 6: match CMBS 5-yr term; consistent with friend</t>
  </si>
  <si>
    <t>Origination Fee (bps)</t>
  </si>
  <si>
    <t>Exhibit 6</t>
  </si>
  <si>
    <t>P(Default) – Ba, 5yr</t>
  </si>
  <si>
    <t>Exhibit 15: 5-yr cumulative Ba loss rate</t>
  </si>
  <si>
    <t>Recovery Rate</t>
  </si>
  <si>
    <t>DERIVED CALCULATIONS</t>
  </si>
  <si>
    <t>Monthly Interest Rate</t>
  </si>
  <si>
    <t>Monthly Payment ($)</t>
  </si>
  <si>
    <t>Origination Fee ($)</t>
  </si>
  <si>
    <t>Net Outlay ($)</t>
  </si>
  <si>
    <t>Balloon Balance ($)</t>
  </si>
  <si>
    <t>Total Final Payment ($)</t>
  </si>
  <si>
    <t>PROMISED MONTHLY CASH FLOW SCHEDULE</t>
  </si>
  <si>
    <t>Month</t>
  </si>
  <si>
    <t>Description</t>
  </si>
  <si>
    <t>Payment ($)</t>
  </si>
  <si>
    <t>Balloon ($)</t>
  </si>
  <si>
    <t>Net Cash Flow ($)</t>
  </si>
  <si>
    <t>Origination (net outlay)</t>
  </si>
  <si>
    <t>-</t>
  </si>
  <si>
    <t>Monthly Payment</t>
  </si>
  <si>
    <t>Final Payment + Balloon</t>
  </si>
  <si>
    <t>RETURN ANALYSIS</t>
  </si>
  <si>
    <t>Promised IRR (monthly → annual)</t>
  </si>
  <si>
    <t>Annualized Credit Loss (Ba, 5yr)</t>
  </si>
  <si>
    <t>Expected Return (IRR – ann. loss)</t>
  </si>
  <si>
    <t>Baa Corp Yield (Exhibit 14)</t>
  </si>
  <si>
    <t>Spread over Baa</t>
  </si>
  <si>
    <t>Q2: Adverse Scenario – South Plains Mall Anchor Default &amp; D-Bond Expected Cash Flows</t>
  </si>
  <si>
    <t>SCENARIO: DUAL ANCHOR NON-RENEWAL — SOUTH PLAINS MALL</t>
  </si>
  <si>
    <t>Scenario: Dillard's (25.2% NRA, lease exp Jan 2012) and JC Penney (21.4% NRA, lease exp Jul 2012) both fail to renew. Combined 46.6% NRA loss triggers co-tenancy clauses, collapsing inline tenant rents. Property value falls below loan balance → borrower defaults strategically (non-recourse loan). Default assumed at Month 30 (~2.5 yrs, when 2012 leases expire and distress is confirmed).</t>
  </si>
  <si>
    <t>SOUTH PLAINS MALL — LOAN FACTS (Exhibit 8)</t>
  </si>
  <si>
    <t>STRESS ASSUMPTIONS</t>
  </si>
  <si>
    <t>Loan Balance ($)</t>
  </si>
  <si>
    <t>Dillard's NRA (sf)</t>
  </si>
  <si>
    <t>Exhibit 8: 25.2% of NRA</t>
  </si>
  <si>
    <t>Loan Rate (annual)</t>
  </si>
  <si>
    <t>Dillard's Rent PSF ($)</t>
  </si>
  <si>
    <t>Exhibit 8: underwritten</t>
  </si>
  <si>
    <t>JC Penney NRA (sf)</t>
  </si>
  <si>
    <t>Exhibit 8: 21.4% of NRA</t>
  </si>
  <si>
    <t>Loan Term (months)</t>
  </si>
  <si>
    <t>JC Penney Rent PSF ($)</t>
  </si>
  <si>
    <t>Current NOI ($)</t>
  </si>
  <si>
    <t>Co-tenancy Loss (%)</t>
  </si>
  <si>
    <t>Conservative: 50% of remaining NOI lost</t>
  </si>
  <si>
    <t>Current DSCR</t>
  </si>
  <si>
    <t>Stressed Cap Rate</t>
  </si>
  <si>
    <t>Distressed mall; up from ~8.2% implied</t>
  </si>
  <si>
    <t>Appraised Value ($)</t>
  </si>
  <si>
    <t>P(Default)</t>
  </si>
  <si>
    <t>Underwritten LTV</t>
  </si>
  <si>
    <t>Default Month</t>
  </si>
  <si>
    <t>~Month lease crisis confirmed</t>
  </si>
  <si>
    <t>STRESS CALCULATIONS (Derived)</t>
  </si>
  <si>
    <t>POOL &amp; D-BOND LOSS ALLOCATION</t>
  </si>
  <si>
    <t>Monthly Pmt – SPM Loan ($)</t>
  </si>
  <si>
    <t>Pool &amp; D-Bond Facts (Exhibit 7)</t>
  </si>
  <si>
    <t>Value</t>
  </si>
  <si>
    <t>Annual Debt Service ($)</t>
  </si>
  <si>
    <t>Total Pool Balance ($)</t>
  </si>
  <si>
    <t>Dillard's Rent Lost ($)</t>
  </si>
  <si>
    <t>D-Bond Face Value ($)</t>
  </si>
  <si>
    <t>JC Penney Rent Lost ($)</t>
  </si>
  <si>
    <t>D-Bond Subordination</t>
  </si>
  <si>
    <t>Total Anchor Rent Lost ($)</t>
  </si>
  <si>
    <t>D-Bond Coupon (pass-through)</t>
  </si>
  <si>
    <t>Co-tenancy NOI Lost ($)</t>
  </si>
  <si>
    <t>Stressed NOI ($)</t>
  </si>
  <si>
    <t>Pool Loss ($)</t>
  </si>
  <si>
    <t>Stressed DSCR</t>
  </si>
  <si>
    <t>Pool Loss (% of pool)</t>
  </si>
  <si>
    <t>Stressed Property Value ($)</t>
  </si>
  <si>
    <t>D-Bond Monthly Coupon ($)</t>
  </si>
  <si>
    <t>Loan Bal at Default Month ($)</t>
  </si>
  <si>
    <t>D-Bond Loss ($)</t>
  </si>
  <si>
    <t>Recovery Amount ($)</t>
  </si>
  <si>
    <t>D-Bond Recovery ($)</t>
  </si>
  <si>
    <t>D-Bond Recovery Rate</t>
  </si>
  <si>
    <t>Loss on SPM Loan ($)</t>
  </si>
  <si>
    <t>D-BOND MONTHLY CASH FLOW TABLE</t>
  </si>
  <si>
    <t>Scen A: No Default (85%)
CF ($)</t>
  </si>
  <si>
    <t>Scen B: Default Month 30 (15%)
CF ($)</t>
  </si>
  <si>
    <t>Expected CF ($)
= 0.85×A + 0.15×B</t>
  </si>
  <si>
    <t>Cumulative ECF ($)</t>
  </si>
  <si>
    <t>Notes</t>
  </si>
  <si>
    <t>Initial Outlay</t>
  </si>
  <si>
    <t>Buy D-bond at par</t>
  </si>
  <si>
    <t>Monthly Coupon</t>
  </si>
  <si>
    <t>Default Month — Last Coupon + Recovery (Scen B)</t>
  </si>
  <si>
    <t>Scen B: recovery $15.4M replaces future CFs</t>
  </si>
  <si>
    <t>Monthly Coupon (Scen A) / $0 (Scen B)</t>
  </si>
  <si>
    <t>Scen B: $0 hereafter (loan resolved)</t>
  </si>
  <si>
    <t>Final Coupon + Principal Repaid (Scen A)</t>
  </si>
  <si>
    <t>Scen A: full principal returned</t>
  </si>
  <si>
    <t>D-Bond Expected IRR (monthly → annual)</t>
  </si>
  <si>
    <t>D-Bond Promised Yield (no default)</t>
  </si>
  <si>
    <t>Direct Lending Expected Return (Q1)</t>
  </si>
  <si>
    <t>Stressed DSCR = 1.31x (borrower can technically service debt but property value &lt; loan balance). Non-recourse structure means rational borrower defaults strategically when equity is wiped out. D-bond recovery = $15.4M of $29.4M face = 52.3% recovery rate under this scenario.</t>
  </si>
  <si>
    <t>Q3: Required Return on D-Bond &amp; Break-Even Purchase Price</t>
  </si>
  <si>
    <t>REQUIRED RETURN BUILD-UP</t>
  </si>
  <si>
    <t>Justification</t>
  </si>
  <si>
    <t>Baa Corporate Yield</t>
  </si>
  <si>
    <t>Exhibit 14: Baa bonds yield 6.40%. D-bond rated Baa3/BBB- — this is the floor.</t>
  </si>
  <si>
    <t>Liquidity Premium</t>
  </si>
  <si>
    <t>Rule 144A offering = not publicly registered, restricted resale. Typical illiquidity add-on 50bps.</t>
  </si>
  <si>
    <t>Concentration Premium</t>
  </si>
  <si>
    <t>Only 6 loans in pool vs hundreds in pre-crisis CMBS. Single-loan event risk is high. 75bps.</t>
  </si>
  <si>
    <t>Required Return on D-Bond</t>
  </si>
  <si>
    <t>Sum of above components.</t>
  </si>
  <si>
    <t>From Q1 — must beat direct lending to justify D-bond investment</t>
  </si>
  <si>
    <t>HURDLE RATE (max of above)</t>
  </si>
  <si>
    <t>D-bond must at minimum match direct lending expected return</t>
  </si>
  <si>
    <t>Key difference from friend: Required return is built up from fundamentals (Baa base + liquidity + concentration premia) rather than simply copying Q1's direct lending return. The hurdle is then the MAX of these two — ensuring the D-bond beats both the market-implied rate for its risk level AND the direct lending alternative.</t>
  </si>
  <si>
    <t>BREAK-EVEN PRICE CALCULATION</t>
  </si>
  <si>
    <t>Hurdle Rate (annual)</t>
  </si>
  <si>
    <t>Hurdle Rate (monthly)</t>
  </si>
  <si>
    <t>PV of Expected CFs (months 1–60) ($)</t>
  </si>
  <si>
    <t>Break-Even Price ($)</t>
  </si>
  <si>
    <t>Break-Even Price (% of par)</t>
  </si>
  <si>
    <t>Discount to Par</t>
  </si>
  <si>
    <t>UPL INVESTMENT OF $5.8M</t>
  </si>
  <si>
    <t>UPL Investment ($)</t>
  </si>
  <si>
    <t>Face Value Acquired at Break-Even Price ($)</t>
  </si>
  <si>
    <t>Face Value at Par (for comparison)</t>
  </si>
  <si>
    <t>Extra Face Value from Discount ($)</t>
  </si>
  <si>
    <t>D-BOND MONTHLY CASH FLOW TABLE AT BREAK-EVEN PRICE</t>
  </si>
  <si>
    <t>Scen A: No Default (85%) CF ($)</t>
  </si>
  <si>
    <t>Scen B: Default Month 30 (15%) CF ($)</t>
  </si>
  <si>
    <t>Expected CF ($)</t>
  </si>
  <si>
    <t>Buy D-Bond at Break-Even Price</t>
  </si>
  <si>
    <t>Outlay = face × break-even price</t>
  </si>
  <si>
    <t>Recovery received; Scen B ends</t>
  </si>
  <si>
    <t>Coupon (Scen A) / $0 (Scen B)</t>
  </si>
  <si>
    <t>Scen B: $0 hereafter</t>
  </si>
  <si>
    <t>Final Coupon + Principal (Scen A)</t>
  </si>
  <si>
    <t>Scen A: principal returned</t>
  </si>
  <si>
    <t>RETURN VERIFICATION</t>
  </si>
  <si>
    <t>Expected IRR at Break-Even Price (annualized)</t>
  </si>
  <si>
    <t>Promised Yield at Break-Even Price</t>
  </si>
  <si>
    <t>SUMMARY: DIRECT LENDING vs D-BOND</t>
  </si>
  <si>
    <t>Metric</t>
  </si>
  <si>
    <t>Direct Lending</t>
  </si>
  <si>
    <t>D-Bond at Par</t>
  </si>
  <si>
    <t>D-Bond at Break-Even</t>
  </si>
  <si>
    <t>Promised Yield</t>
  </si>
  <si>
    <t>Expected Return</t>
  </si>
  <si>
    <t>Break-Even Price</t>
  </si>
  <si>
    <t>N/A</t>
  </si>
  <si>
    <t>100% (par)</t>
  </si>
  <si>
    <t>Face Value/$5.8M</t>
  </si>
  <si>
    <t>Credit Rating</t>
  </si>
  <si>
    <t>Ba (typical)</t>
  </si>
  <si>
    <t>Baa3</t>
  </si>
  <si>
    <t>Verdict</t>
  </si>
  <si>
    <t>Baseline</t>
  </si>
  <si>
    <t>INFERIOR at par</t>
  </si>
  <si>
    <t>EQUIVALENT</t>
  </si>
  <si>
    <t>Interpretation: By purchasing the D-bond at the break-even price (~83.4 cents on the dollar), UPL acquires ~$6.95M of face value for $5.8M. The discount compensates for: (1) the 15% probability of partial loss in our scenario, (2) zero subordination below the D-bond,</t>
  </si>
  <si>
    <t>Hurdle Rate</t>
  </si>
  <si>
    <t xml:space="preserve">Probability: 15% (assumed) — consistent with 2010 retail climate: Mervyn's already dark at the mall, Dillard's rated B3/B-, JC Penney rated Ba1/BB.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</si>
</sst>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$#,##0"/>
    <numFmt numFmtId="165" formatCode="0.0%"/>
    <numFmt numFmtId="166" formatCode="0.0000%"/>
    <numFmt numFmtId="167" formatCode="\$#,##0.00"/>
    <numFmt numFmtId="168" formatCode="0.00\x"/>
    <numFmt numFmtId="169" formatCode="0.000000%"/>
  </numFmts>
  <fonts count="10" x14ac:knownFonts="1">
    <font>
      <sz val="11"/>
      <color theme="1"/>
      <name val="Calibri"/>
      <family val="2"/>
      <charset val="1"/>
    </font>
    <font>
      <b/>
      <sz val="13"/>
      <name val="Arial"/>
      <family val="2"/>
    </font>
    <font>
      <b/>
      <sz val="11"/>
      <color rgb="FFFFFFFF"/>
      <name val="Arial"/>
      <family val="2"/>
    </font>
    <font>
      <sz val="11"/>
      <color rgb="FF000000"/>
      <name val="Arial"/>
      <family val="2"/>
    </font>
    <font>
      <sz val="11"/>
      <color rgb="FF0000FF"/>
      <name val="Arial"/>
      <family val="2"/>
    </font>
    <font>
      <i/>
      <sz val="11"/>
      <color rgb="FF595959"/>
      <name val="Arial"/>
      <family val="2"/>
    </font>
    <font>
      <b/>
      <sz val="11"/>
      <name val="Arial"/>
      <family val="2"/>
    </font>
    <font>
      <i/>
      <sz val="9"/>
      <color rgb="FF595959"/>
      <name val="Arial"/>
      <family val="2"/>
    </font>
    <font>
      <sz val="11"/>
      <color rgb="FF008000"/>
      <name val="Arial"/>
      <family val="2"/>
    </font>
    <font>
      <b/>
      <sz val="11"/>
      <color rgb="FF008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D9E1F2"/>
        <bgColor rgb="FFE2EFDA"/>
      </patternFill>
    </fill>
    <fill>
      <patternFill patternType="solid">
        <fgColor rgb="FF1F3864"/>
        <bgColor rgb="FF333333"/>
      </patternFill>
    </fill>
    <fill>
      <patternFill patternType="solid">
        <fgColor rgb="FFE2EFDA"/>
        <bgColor rgb="FFD9E1F2"/>
      </patternFill>
    </fill>
    <fill>
      <patternFill patternType="solid">
        <fgColor rgb="FFFFFF00"/>
        <bgColor rgb="FFFFFF00"/>
      </patternFill>
    </fill>
    <fill>
      <patternFill patternType="solid">
        <fgColor rgb="FFFFE0E0"/>
        <bgColor rgb="FFFCE4D6"/>
      </patternFill>
    </fill>
    <fill>
      <patternFill patternType="solid">
        <fgColor rgb="FFFCE4D6"/>
        <bgColor rgb="FFFFE0E0"/>
      </patternFill>
    </fill>
  </fills>
  <borders count="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5">
    <xf numFmtId="0" fontId="0" fillId="0" borderId="0" xfId="0"/>
    <xf numFmtId="3" fontId="4" fillId="0" borderId="2" xfId="0" applyNumberFormat="1" applyFont="1" applyBorder="1" applyAlignment="1">
      <alignment horizontal="right" vertical="center"/>
    </xf>
    <xf numFmtId="166" fontId="4" fillId="0" borderId="2" xfId="0" applyNumberFormat="1" applyFont="1" applyBorder="1" applyAlignment="1">
      <alignment horizontal="right" vertical="center"/>
    </xf>
    <xf numFmtId="165" fontId="4" fillId="0" borderId="2" xfId="0" applyNumberFormat="1" applyFont="1" applyBorder="1" applyAlignment="1">
      <alignment horizontal="right" vertical="center"/>
    </xf>
    <xf numFmtId="164" fontId="4" fillId="0" borderId="2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7" fillId="0" borderId="0" xfId="0" applyFont="1" applyAlignment="1">
      <alignment vertical="top" wrapText="1"/>
    </xf>
    <xf numFmtId="1" fontId="3" fillId="0" borderId="2" xfId="0" applyNumberFormat="1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164" fontId="4" fillId="0" borderId="2" xfId="0" applyNumberFormat="1" applyFont="1" applyBorder="1" applyAlignment="1">
      <alignment horizontal="right" vertical="center"/>
    </xf>
    <xf numFmtId="0" fontId="5" fillId="0" borderId="2" xfId="0" applyFont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0" fontId="4" fillId="3" borderId="2" xfId="0" applyNumberFormat="1" applyFont="1" applyFill="1" applyBorder="1" applyAlignment="1">
      <alignment horizontal="right" vertical="center"/>
    </xf>
    <xf numFmtId="0" fontId="5" fillId="3" borderId="2" xfId="0" applyFont="1" applyFill="1" applyBorder="1" applyAlignment="1">
      <alignment horizontal="left" vertical="center"/>
    </xf>
    <xf numFmtId="3" fontId="4" fillId="0" borderId="2" xfId="0" applyNumberFormat="1" applyFont="1" applyBorder="1" applyAlignment="1">
      <alignment horizontal="right" vertical="center"/>
    </xf>
    <xf numFmtId="1" fontId="4" fillId="3" borderId="2" xfId="0" applyNumberFormat="1" applyFont="1" applyFill="1" applyBorder="1" applyAlignment="1">
      <alignment horizontal="right" vertical="center"/>
    </xf>
    <xf numFmtId="1" fontId="4" fillId="0" borderId="2" xfId="0" applyNumberFormat="1" applyFont="1" applyBorder="1" applyAlignment="1">
      <alignment horizontal="right" vertical="center"/>
    </xf>
    <xf numFmtId="165" fontId="4" fillId="0" borderId="2" xfId="0" applyNumberFormat="1" applyFont="1" applyBorder="1" applyAlignment="1">
      <alignment horizontal="right" vertical="center"/>
    </xf>
    <xf numFmtId="166" fontId="3" fillId="0" borderId="2" xfId="0" applyNumberFormat="1" applyFont="1" applyBorder="1" applyAlignment="1">
      <alignment horizontal="right" vertical="center"/>
    </xf>
    <xf numFmtId="167" fontId="3" fillId="0" borderId="2" xfId="0" applyNumberFormat="1" applyFont="1" applyBorder="1" applyAlignment="1">
      <alignment horizontal="right" vertical="center"/>
    </xf>
    <xf numFmtId="164" fontId="3" fillId="0" borderId="2" xfId="0" applyNumberFormat="1" applyFont="1" applyBorder="1" applyAlignment="1">
      <alignment horizontal="right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right" vertical="center"/>
    </xf>
    <xf numFmtId="1" fontId="3" fillId="3" borderId="2" xfId="0" applyNumberFormat="1" applyFont="1" applyFill="1" applyBorder="1" applyAlignment="1">
      <alignment horizontal="center" vertical="center"/>
    </xf>
    <xf numFmtId="167" fontId="3" fillId="3" borderId="2" xfId="0" applyNumberFormat="1" applyFont="1" applyFill="1" applyBorder="1" applyAlignment="1">
      <alignment horizontal="right" vertical="center"/>
    </xf>
    <xf numFmtId="49" fontId="3" fillId="3" borderId="2" xfId="0" applyNumberFormat="1" applyFont="1" applyFill="1" applyBorder="1" applyAlignment="1">
      <alignment horizontal="right" vertical="center"/>
    </xf>
    <xf numFmtId="10" fontId="3" fillId="0" borderId="2" xfId="0" applyNumberFormat="1" applyFont="1" applyBorder="1" applyAlignment="1">
      <alignment horizontal="right" vertical="center"/>
    </xf>
    <xf numFmtId="0" fontId="6" fillId="0" borderId="2" xfId="0" applyFont="1" applyBorder="1" applyAlignment="1">
      <alignment horizontal="left" vertical="center"/>
    </xf>
    <xf numFmtId="10" fontId="6" fillId="5" borderId="2" xfId="0" applyNumberFormat="1" applyFont="1" applyFill="1" applyBorder="1" applyAlignment="1">
      <alignment horizontal="right" vertical="center"/>
    </xf>
    <xf numFmtId="10" fontId="4" fillId="0" borderId="2" xfId="0" applyNumberFormat="1" applyFont="1" applyBorder="1" applyAlignment="1">
      <alignment horizontal="right" vertical="center"/>
    </xf>
    <xf numFmtId="165" fontId="3" fillId="0" borderId="2" xfId="0" applyNumberFormat="1" applyFont="1" applyBorder="1" applyAlignment="1">
      <alignment horizontal="right" vertical="center"/>
    </xf>
    <xf numFmtId="0" fontId="3" fillId="0" borderId="2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 wrapText="1"/>
    </xf>
    <xf numFmtId="166" fontId="4" fillId="3" borderId="2" xfId="0" applyNumberFormat="1" applyFont="1" applyFill="1" applyBorder="1" applyAlignment="1">
      <alignment horizontal="right" vertical="center"/>
    </xf>
    <xf numFmtId="167" fontId="4" fillId="3" borderId="2" xfId="0" applyNumberFormat="1" applyFont="1" applyFill="1" applyBorder="1" applyAlignment="1">
      <alignment horizontal="right" vertical="center"/>
    </xf>
    <xf numFmtId="0" fontId="7" fillId="3" borderId="2" xfId="0" applyFont="1" applyFill="1" applyBorder="1" applyAlignment="1">
      <alignment horizontal="left" vertical="center" wrapText="1"/>
    </xf>
    <xf numFmtId="3" fontId="4" fillId="3" borderId="2" xfId="0" applyNumberFormat="1" applyFont="1" applyFill="1" applyBorder="1" applyAlignment="1">
      <alignment horizontal="right" vertical="center"/>
    </xf>
    <xf numFmtId="9" fontId="4" fillId="0" borderId="2" xfId="0" applyNumberFormat="1" applyFont="1" applyBorder="1" applyAlignment="1">
      <alignment horizontal="right" vertical="center"/>
    </xf>
    <xf numFmtId="168" fontId="4" fillId="3" borderId="2" xfId="0" applyNumberFormat="1" applyFont="1" applyFill="1" applyBorder="1" applyAlignment="1">
      <alignment horizontal="right" vertical="center"/>
    </xf>
    <xf numFmtId="165" fontId="4" fillId="3" borderId="2" xfId="0" applyNumberFormat="1" applyFont="1" applyFill="1" applyBorder="1" applyAlignment="1">
      <alignment horizontal="right" vertical="center"/>
    </xf>
    <xf numFmtId="0" fontId="6" fillId="0" borderId="2" xfId="0" applyFont="1" applyBorder="1" applyAlignment="1">
      <alignment horizontal="left" vertical="center" wrapText="1"/>
    </xf>
    <xf numFmtId="164" fontId="6" fillId="6" borderId="2" xfId="0" applyNumberFormat="1" applyFont="1" applyFill="1" applyBorder="1" applyAlignment="1">
      <alignment horizontal="right" vertical="center"/>
    </xf>
    <xf numFmtId="168" fontId="6" fillId="7" borderId="2" xfId="0" applyNumberFormat="1" applyFont="1" applyFill="1" applyBorder="1" applyAlignment="1">
      <alignment horizontal="right" vertical="center"/>
    </xf>
    <xf numFmtId="164" fontId="6" fillId="7" borderId="2" xfId="0" applyNumberFormat="1" applyFont="1" applyFill="1" applyBorder="1" applyAlignment="1">
      <alignment horizontal="right" vertical="center"/>
    </xf>
    <xf numFmtId="164" fontId="6" fillId="5" borderId="2" xfId="0" applyNumberFormat="1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center" vertical="center" wrapText="1"/>
    </xf>
    <xf numFmtId="167" fontId="3" fillId="8" borderId="2" xfId="0" applyNumberFormat="1" applyFont="1" applyFill="1" applyBorder="1" applyAlignment="1">
      <alignment horizontal="right" vertical="center"/>
    </xf>
    <xf numFmtId="167" fontId="3" fillId="7" borderId="2" xfId="0" applyNumberFormat="1" applyFont="1" applyFill="1" applyBorder="1" applyAlignment="1">
      <alignment horizontal="right" vertical="center"/>
    </xf>
    <xf numFmtId="0" fontId="6" fillId="3" borderId="2" xfId="0" applyFont="1" applyFill="1" applyBorder="1" applyAlignment="1">
      <alignment horizontal="left" vertical="center" wrapText="1"/>
    </xf>
    <xf numFmtId="10" fontId="6" fillId="3" borderId="2" xfId="0" applyNumberFormat="1" applyFont="1" applyFill="1" applyBorder="1" applyAlignment="1">
      <alignment horizontal="right" vertical="center"/>
    </xf>
    <xf numFmtId="10" fontId="8" fillId="0" borderId="2" xfId="0" applyNumberFormat="1" applyFont="1" applyBorder="1" applyAlignment="1">
      <alignment horizontal="right" vertical="center"/>
    </xf>
    <xf numFmtId="10" fontId="6" fillId="6" borderId="2" xfId="0" applyNumberFormat="1" applyFont="1" applyFill="1" applyBorder="1" applyAlignment="1">
      <alignment horizontal="right" vertical="center"/>
    </xf>
    <xf numFmtId="164" fontId="8" fillId="0" borderId="2" xfId="0" applyNumberFormat="1" applyFont="1" applyBorder="1" applyAlignment="1">
      <alignment horizontal="right" vertical="center"/>
    </xf>
    <xf numFmtId="169" fontId="3" fillId="0" borderId="2" xfId="0" applyNumberFormat="1" applyFont="1" applyBorder="1" applyAlignment="1">
      <alignment horizontal="right" vertical="center"/>
    </xf>
    <xf numFmtId="164" fontId="9" fillId="5" borderId="2" xfId="0" applyNumberFormat="1" applyFont="1" applyFill="1" applyBorder="1" applyAlignment="1">
      <alignment horizontal="right" vertical="center"/>
    </xf>
    <xf numFmtId="167" fontId="8" fillId="0" borderId="2" xfId="0" applyNumberFormat="1" applyFont="1" applyBorder="1" applyAlignment="1">
      <alignment horizontal="right" vertical="center"/>
    </xf>
    <xf numFmtId="167" fontId="8" fillId="8" borderId="2" xfId="0" applyNumberFormat="1" applyFont="1" applyFill="1" applyBorder="1" applyAlignment="1">
      <alignment horizontal="right" vertical="center"/>
    </xf>
    <xf numFmtId="167" fontId="8" fillId="7" borderId="2" xfId="0" applyNumberFormat="1" applyFont="1" applyFill="1" applyBorder="1" applyAlignment="1">
      <alignment horizontal="right" vertical="center"/>
    </xf>
    <xf numFmtId="10" fontId="8" fillId="0" borderId="2" xfId="0" applyNumberFormat="1" applyFont="1" applyBorder="1" applyAlignment="1">
      <alignment horizontal="center" vertical="center"/>
    </xf>
    <xf numFmtId="10" fontId="8" fillId="3" borderId="2" xfId="0" applyNumberFormat="1" applyFont="1" applyFill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49" fontId="8" fillId="0" borderId="2" xfId="0" applyNumberFormat="1" applyFont="1" applyBorder="1" applyAlignment="1">
      <alignment horizontal="center" vertical="center"/>
    </xf>
    <xf numFmtId="164" fontId="8" fillId="3" borderId="2" xfId="0" applyNumberFormat="1" applyFont="1" applyFill="1" applyBorder="1" applyAlignment="1">
      <alignment horizontal="center" vertical="center"/>
    </xf>
    <xf numFmtId="49" fontId="3" fillId="3" borderId="2" xfId="0" applyNumberFormat="1" applyFont="1" applyFill="1" applyBorder="1" applyAlignment="1">
      <alignment horizontal="center" vertical="center"/>
    </xf>
    <xf numFmtId="49" fontId="3" fillId="7" borderId="2" xfId="0" applyNumberFormat="1" applyFont="1" applyFill="1" applyBorder="1" applyAlignment="1">
      <alignment horizontal="center" vertical="center"/>
    </xf>
    <xf numFmtId="49" fontId="3" fillId="5" borderId="2" xfId="0" applyNumberFormat="1" applyFont="1" applyFill="1" applyBorder="1" applyAlignment="1">
      <alignment horizontal="center" vertical="center"/>
    </xf>
    <xf numFmtId="164" fontId="3" fillId="0" borderId="2" xfId="0" applyNumberFormat="1" applyFont="1" applyBorder="1" applyAlignment="1">
      <alignment horizontal="right" vertical="center"/>
    </xf>
    <xf numFmtId="10" fontId="3" fillId="0" borderId="2" xfId="0" applyNumberFormat="1" applyFont="1" applyBorder="1" applyAlignment="1">
      <alignment horizontal="right" vertical="center"/>
    </xf>
    <xf numFmtId="167" fontId="3" fillId="0" borderId="2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left" vertical="center" wrapText="1"/>
    </xf>
    <xf numFmtId="164" fontId="6" fillId="7" borderId="2" xfId="0" applyNumberFormat="1" applyFont="1" applyFill="1" applyBorder="1" applyAlignment="1">
      <alignment horizontal="right" vertical="center"/>
    </xf>
    <xf numFmtId="164" fontId="6" fillId="5" borderId="2" xfId="0" applyNumberFormat="1" applyFont="1" applyFill="1" applyBorder="1" applyAlignment="1">
      <alignment horizontal="right" vertical="center"/>
    </xf>
    <xf numFmtId="165" fontId="6" fillId="5" borderId="2" xfId="0" applyNumberFormat="1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E0E0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2"/>
  <sheetViews>
    <sheetView topLeftCell="A43" zoomScaleNormal="100" workbookViewId="0">
      <selection activeCell="B19" sqref="B19"/>
    </sheetView>
  </sheetViews>
  <sheetFormatPr baseColWidth="10" defaultColWidth="8.6640625" defaultRowHeight="15" x14ac:dyDescent="0.2"/>
  <cols>
    <col min="1" max="1" width="31.1640625" bestFit="1" customWidth="1"/>
    <col min="2" max="2" width="20.6640625" bestFit="1" customWidth="1"/>
    <col min="3" max="3" width="47.33203125" bestFit="1" customWidth="1"/>
    <col min="4" max="4" width="10.83203125" bestFit="1" customWidth="1"/>
    <col min="5" max="5" width="17" bestFit="1" customWidth="1"/>
  </cols>
  <sheetData>
    <row r="1" spans="1:5" ht="17" x14ac:dyDescent="0.2">
      <c r="A1" s="14" t="s">
        <v>0</v>
      </c>
      <c r="B1" s="14"/>
      <c r="C1" s="14"/>
      <c r="D1" s="14"/>
      <c r="E1" s="14"/>
    </row>
    <row r="3" spans="1:5" x14ac:dyDescent="0.2">
      <c r="A3" s="13" t="s">
        <v>1</v>
      </c>
      <c r="B3" s="13"/>
      <c r="C3" s="15"/>
    </row>
    <row r="4" spans="1:5" x14ac:dyDescent="0.2">
      <c r="A4" s="16" t="s">
        <v>2</v>
      </c>
      <c r="B4" s="17">
        <v>5800000</v>
      </c>
      <c r="C4" s="18" t="s">
        <v>3</v>
      </c>
    </row>
    <row r="5" spans="1:5" x14ac:dyDescent="0.2">
      <c r="A5" s="19" t="s">
        <v>4</v>
      </c>
      <c r="B5" s="20">
        <v>0.08</v>
      </c>
      <c r="C5" s="21" t="s">
        <v>5</v>
      </c>
    </row>
    <row r="6" spans="1:5" x14ac:dyDescent="0.2">
      <c r="A6" s="16" t="s">
        <v>6</v>
      </c>
      <c r="B6" s="22">
        <v>360</v>
      </c>
      <c r="C6" s="18" t="s">
        <v>7</v>
      </c>
    </row>
    <row r="7" spans="1:5" x14ac:dyDescent="0.2">
      <c r="A7" s="19" t="s">
        <v>8</v>
      </c>
      <c r="B7" s="23">
        <v>5</v>
      </c>
      <c r="C7" s="21" t="s">
        <v>9</v>
      </c>
    </row>
    <row r="8" spans="1:5" x14ac:dyDescent="0.2">
      <c r="A8" s="16" t="s">
        <v>10</v>
      </c>
      <c r="B8" s="24">
        <v>100</v>
      </c>
      <c r="C8" s="18" t="s">
        <v>11</v>
      </c>
    </row>
    <row r="9" spans="1:5" x14ac:dyDescent="0.2">
      <c r="A9" s="19" t="s">
        <v>12</v>
      </c>
      <c r="B9" s="20">
        <v>7.0199999999999999E-2</v>
      </c>
      <c r="C9" s="21" t="s">
        <v>13</v>
      </c>
    </row>
    <row r="10" spans="1:5" x14ac:dyDescent="0.2">
      <c r="A10" s="16" t="s">
        <v>14</v>
      </c>
      <c r="B10" s="25">
        <v>0.4</v>
      </c>
      <c r="C10" s="18"/>
    </row>
    <row r="13" spans="1:5" x14ac:dyDescent="0.2">
      <c r="A13" s="13" t="s">
        <v>15</v>
      </c>
      <c r="B13" s="13"/>
      <c r="C13" s="15"/>
    </row>
    <row r="14" spans="1:5" x14ac:dyDescent="0.2">
      <c r="A14" s="16" t="s">
        <v>16</v>
      </c>
      <c r="B14" s="26">
        <f>B5/12</f>
        <v>6.6666666666666671E-3</v>
      </c>
    </row>
    <row r="15" spans="1:5" x14ac:dyDescent="0.2">
      <c r="A15" s="16" t="s">
        <v>17</v>
      </c>
      <c r="B15" s="27">
        <f>PMT(B5/12,B6,-B4)</f>
        <v>42558.345285003823</v>
      </c>
    </row>
    <row r="16" spans="1:5" x14ac:dyDescent="0.2">
      <c r="A16" s="16" t="s">
        <v>18</v>
      </c>
      <c r="B16" s="28">
        <f>B4*B8/10000</f>
        <v>58000</v>
      </c>
    </row>
    <row r="17" spans="1:5" x14ac:dyDescent="0.2">
      <c r="A17" s="16" t="s">
        <v>19</v>
      </c>
      <c r="B17" s="28">
        <f>B4-B16</f>
        <v>5742000</v>
      </c>
    </row>
    <row r="18" spans="1:5" x14ac:dyDescent="0.2">
      <c r="A18" s="16" t="s">
        <v>20</v>
      </c>
      <c r="B18" s="28">
        <f>ABS(FV(B5/12,B7*12,-B15,B4))</f>
        <v>5514051.6896077637</v>
      </c>
    </row>
    <row r="19" spans="1:5" x14ac:dyDescent="0.2">
      <c r="A19" s="16" t="s">
        <v>21</v>
      </c>
      <c r="B19" s="28">
        <f>B15+B18</f>
        <v>5556610.0348927677</v>
      </c>
    </row>
    <row r="21" spans="1:5" x14ac:dyDescent="0.2">
      <c r="A21" s="12" t="s">
        <v>22</v>
      </c>
      <c r="B21" s="12"/>
      <c r="C21" s="12"/>
      <c r="D21" s="12"/>
      <c r="E21" s="29"/>
    </row>
    <row r="22" spans="1:5" x14ac:dyDescent="0.2">
      <c r="A22" s="30" t="s">
        <v>23</v>
      </c>
      <c r="B22" s="30" t="s">
        <v>24</v>
      </c>
      <c r="C22" s="30" t="s">
        <v>25</v>
      </c>
      <c r="D22" s="30" t="s">
        <v>26</v>
      </c>
      <c r="E22" s="30" t="s">
        <v>27</v>
      </c>
    </row>
    <row r="23" spans="1:5" x14ac:dyDescent="0.2">
      <c r="A23" s="31">
        <v>0</v>
      </c>
      <c r="B23" s="16" t="s">
        <v>28</v>
      </c>
      <c r="C23" s="32" t="s">
        <v>29</v>
      </c>
      <c r="D23" s="32" t="s">
        <v>29</v>
      </c>
      <c r="E23" s="28">
        <f>-B17</f>
        <v>-5742000</v>
      </c>
    </row>
    <row r="24" spans="1:5" x14ac:dyDescent="0.2">
      <c r="A24" s="31">
        <v>1</v>
      </c>
      <c r="B24" s="16" t="s">
        <v>30</v>
      </c>
      <c r="C24" s="27">
        <f t="shared" ref="C24:C55" si="0">$B$15</f>
        <v>42558.345285003823</v>
      </c>
      <c r="D24" s="32" t="s">
        <v>29</v>
      </c>
      <c r="E24" s="27">
        <f t="shared" ref="E24:E55" si="1">$B$15</f>
        <v>42558.345285003823</v>
      </c>
    </row>
    <row r="25" spans="1:5" x14ac:dyDescent="0.2">
      <c r="A25" s="33">
        <v>2</v>
      </c>
      <c r="B25" s="19" t="s">
        <v>30</v>
      </c>
      <c r="C25" s="34">
        <f t="shared" si="0"/>
        <v>42558.345285003823</v>
      </c>
      <c r="D25" s="35" t="s">
        <v>29</v>
      </c>
      <c r="E25" s="34">
        <f t="shared" si="1"/>
        <v>42558.345285003823</v>
      </c>
    </row>
    <row r="26" spans="1:5" x14ac:dyDescent="0.2">
      <c r="A26" s="31">
        <v>3</v>
      </c>
      <c r="B26" s="16" t="s">
        <v>30</v>
      </c>
      <c r="C26" s="27">
        <f t="shared" si="0"/>
        <v>42558.345285003823</v>
      </c>
      <c r="D26" s="32" t="s">
        <v>29</v>
      </c>
      <c r="E26" s="27">
        <f t="shared" si="1"/>
        <v>42558.345285003823</v>
      </c>
    </row>
    <row r="27" spans="1:5" x14ac:dyDescent="0.2">
      <c r="A27" s="33">
        <v>4</v>
      </c>
      <c r="B27" s="19" t="s">
        <v>30</v>
      </c>
      <c r="C27" s="34">
        <f t="shared" si="0"/>
        <v>42558.345285003823</v>
      </c>
      <c r="D27" s="35" t="s">
        <v>29</v>
      </c>
      <c r="E27" s="34">
        <f t="shared" si="1"/>
        <v>42558.345285003823</v>
      </c>
    </row>
    <row r="28" spans="1:5" x14ac:dyDescent="0.2">
      <c r="A28" s="31">
        <v>5</v>
      </c>
      <c r="B28" s="16" t="s">
        <v>30</v>
      </c>
      <c r="C28" s="27">
        <f t="shared" si="0"/>
        <v>42558.345285003823</v>
      </c>
      <c r="D28" s="32" t="s">
        <v>29</v>
      </c>
      <c r="E28" s="27">
        <f t="shared" si="1"/>
        <v>42558.345285003823</v>
      </c>
    </row>
    <row r="29" spans="1:5" x14ac:dyDescent="0.2">
      <c r="A29" s="33">
        <v>6</v>
      </c>
      <c r="B29" s="19" t="s">
        <v>30</v>
      </c>
      <c r="C29" s="34">
        <f t="shared" si="0"/>
        <v>42558.345285003823</v>
      </c>
      <c r="D29" s="35" t="s">
        <v>29</v>
      </c>
      <c r="E29" s="34">
        <f t="shared" si="1"/>
        <v>42558.345285003823</v>
      </c>
    </row>
    <row r="30" spans="1:5" x14ac:dyDescent="0.2">
      <c r="A30" s="31">
        <v>7</v>
      </c>
      <c r="B30" s="16" t="s">
        <v>30</v>
      </c>
      <c r="C30" s="27">
        <f t="shared" si="0"/>
        <v>42558.345285003823</v>
      </c>
      <c r="D30" s="32" t="s">
        <v>29</v>
      </c>
      <c r="E30" s="27">
        <f t="shared" si="1"/>
        <v>42558.345285003823</v>
      </c>
    </row>
    <row r="31" spans="1:5" x14ac:dyDescent="0.2">
      <c r="A31" s="33">
        <v>8</v>
      </c>
      <c r="B31" s="19" t="s">
        <v>30</v>
      </c>
      <c r="C31" s="34">
        <f t="shared" si="0"/>
        <v>42558.345285003823</v>
      </c>
      <c r="D31" s="35" t="s">
        <v>29</v>
      </c>
      <c r="E31" s="34">
        <f t="shared" si="1"/>
        <v>42558.345285003823</v>
      </c>
    </row>
    <row r="32" spans="1:5" x14ac:dyDescent="0.2">
      <c r="A32" s="11">
        <v>9</v>
      </c>
      <c r="B32" s="11"/>
      <c r="C32" s="27">
        <f t="shared" si="0"/>
        <v>42558.345285003823</v>
      </c>
      <c r="D32" s="32" t="s">
        <v>29</v>
      </c>
      <c r="E32" s="27">
        <f t="shared" si="1"/>
        <v>42558.345285003823</v>
      </c>
    </row>
    <row r="33" spans="1:5" x14ac:dyDescent="0.2">
      <c r="A33" s="33">
        <v>10</v>
      </c>
      <c r="B33" s="19" t="s">
        <v>30</v>
      </c>
      <c r="C33" s="34">
        <f t="shared" si="0"/>
        <v>42558.345285003823</v>
      </c>
      <c r="D33" s="35" t="s">
        <v>29</v>
      </c>
      <c r="E33" s="34">
        <f t="shared" si="1"/>
        <v>42558.345285003823</v>
      </c>
    </row>
    <row r="34" spans="1:5" x14ac:dyDescent="0.2">
      <c r="A34" s="31">
        <v>11</v>
      </c>
      <c r="B34" s="16" t="s">
        <v>30</v>
      </c>
      <c r="C34" s="27">
        <f t="shared" si="0"/>
        <v>42558.345285003823</v>
      </c>
      <c r="D34" s="32" t="s">
        <v>29</v>
      </c>
      <c r="E34" s="27">
        <f t="shared" si="1"/>
        <v>42558.345285003823</v>
      </c>
    </row>
    <row r="35" spans="1:5" x14ac:dyDescent="0.2">
      <c r="A35" s="33">
        <v>12</v>
      </c>
      <c r="B35" s="19" t="s">
        <v>30</v>
      </c>
      <c r="C35" s="34">
        <f t="shared" si="0"/>
        <v>42558.345285003823</v>
      </c>
      <c r="D35" s="35" t="s">
        <v>29</v>
      </c>
      <c r="E35" s="34">
        <f t="shared" si="1"/>
        <v>42558.345285003823</v>
      </c>
    </row>
    <row r="36" spans="1:5" x14ac:dyDescent="0.2">
      <c r="A36" s="31">
        <v>13</v>
      </c>
      <c r="B36" s="16" t="s">
        <v>30</v>
      </c>
      <c r="C36" s="27">
        <f t="shared" si="0"/>
        <v>42558.345285003823</v>
      </c>
      <c r="D36" s="32" t="s">
        <v>29</v>
      </c>
      <c r="E36" s="27">
        <f t="shared" si="1"/>
        <v>42558.345285003823</v>
      </c>
    </row>
    <row r="37" spans="1:5" x14ac:dyDescent="0.2">
      <c r="A37" s="33">
        <v>14</v>
      </c>
      <c r="B37" s="19" t="s">
        <v>30</v>
      </c>
      <c r="C37" s="34">
        <f t="shared" si="0"/>
        <v>42558.345285003823</v>
      </c>
      <c r="D37" s="35" t="s">
        <v>29</v>
      </c>
      <c r="E37" s="34">
        <f t="shared" si="1"/>
        <v>42558.345285003823</v>
      </c>
    </row>
    <row r="38" spans="1:5" x14ac:dyDescent="0.2">
      <c r="A38" s="31">
        <v>15</v>
      </c>
      <c r="B38" s="16" t="s">
        <v>30</v>
      </c>
      <c r="C38" s="27">
        <f t="shared" si="0"/>
        <v>42558.345285003823</v>
      </c>
      <c r="D38" s="32" t="s">
        <v>29</v>
      </c>
      <c r="E38" s="27">
        <f t="shared" si="1"/>
        <v>42558.345285003823</v>
      </c>
    </row>
    <row r="39" spans="1:5" x14ac:dyDescent="0.2">
      <c r="A39" s="33">
        <v>16</v>
      </c>
      <c r="B39" s="19" t="s">
        <v>30</v>
      </c>
      <c r="C39" s="34">
        <f t="shared" si="0"/>
        <v>42558.345285003823</v>
      </c>
      <c r="D39" s="35" t="s">
        <v>29</v>
      </c>
      <c r="E39" s="34">
        <f t="shared" si="1"/>
        <v>42558.345285003823</v>
      </c>
    </row>
    <row r="40" spans="1:5" x14ac:dyDescent="0.2">
      <c r="A40" s="31">
        <v>17</v>
      </c>
      <c r="B40" s="16" t="s">
        <v>30</v>
      </c>
      <c r="C40" s="27">
        <f t="shared" si="0"/>
        <v>42558.345285003823</v>
      </c>
      <c r="D40" s="32" t="s">
        <v>29</v>
      </c>
      <c r="E40" s="27">
        <f t="shared" si="1"/>
        <v>42558.345285003823</v>
      </c>
    </row>
    <row r="41" spans="1:5" x14ac:dyDescent="0.2">
      <c r="A41" s="33">
        <v>18</v>
      </c>
      <c r="B41" s="19" t="s">
        <v>30</v>
      </c>
      <c r="C41" s="34">
        <f t="shared" si="0"/>
        <v>42558.345285003823</v>
      </c>
      <c r="D41" s="35" t="s">
        <v>29</v>
      </c>
      <c r="E41" s="34">
        <f t="shared" si="1"/>
        <v>42558.345285003823</v>
      </c>
    </row>
    <row r="42" spans="1:5" x14ac:dyDescent="0.2">
      <c r="A42" s="31">
        <v>19</v>
      </c>
      <c r="B42" s="16" t="s">
        <v>30</v>
      </c>
      <c r="C42" s="27">
        <f t="shared" si="0"/>
        <v>42558.345285003823</v>
      </c>
      <c r="D42" s="32" t="s">
        <v>29</v>
      </c>
      <c r="E42" s="27">
        <f t="shared" si="1"/>
        <v>42558.345285003823</v>
      </c>
    </row>
    <row r="43" spans="1:5" x14ac:dyDescent="0.2">
      <c r="A43" s="33">
        <v>20</v>
      </c>
      <c r="B43" s="19" t="s">
        <v>30</v>
      </c>
      <c r="C43" s="34">
        <f t="shared" si="0"/>
        <v>42558.345285003823</v>
      </c>
      <c r="D43" s="35" t="s">
        <v>29</v>
      </c>
      <c r="E43" s="34">
        <f t="shared" si="1"/>
        <v>42558.345285003823</v>
      </c>
    </row>
    <row r="44" spans="1:5" x14ac:dyDescent="0.2">
      <c r="A44" s="31">
        <v>21</v>
      </c>
      <c r="B44" s="16" t="s">
        <v>30</v>
      </c>
      <c r="C44" s="27">
        <f t="shared" si="0"/>
        <v>42558.345285003823</v>
      </c>
      <c r="D44" s="32" t="s">
        <v>29</v>
      </c>
      <c r="E44" s="27">
        <f t="shared" si="1"/>
        <v>42558.345285003823</v>
      </c>
    </row>
    <row r="45" spans="1:5" x14ac:dyDescent="0.2">
      <c r="A45" s="33">
        <v>22</v>
      </c>
      <c r="B45" s="19" t="s">
        <v>30</v>
      </c>
      <c r="C45" s="34">
        <f t="shared" si="0"/>
        <v>42558.345285003823</v>
      </c>
      <c r="D45" s="35" t="s">
        <v>29</v>
      </c>
      <c r="E45" s="34">
        <f t="shared" si="1"/>
        <v>42558.345285003823</v>
      </c>
    </row>
    <row r="46" spans="1:5" x14ac:dyDescent="0.2">
      <c r="A46" s="31">
        <v>23</v>
      </c>
      <c r="B46" s="16" t="s">
        <v>30</v>
      </c>
      <c r="C46" s="27">
        <f t="shared" si="0"/>
        <v>42558.345285003823</v>
      </c>
      <c r="D46" s="32" t="s">
        <v>29</v>
      </c>
      <c r="E46" s="27">
        <f t="shared" si="1"/>
        <v>42558.345285003823</v>
      </c>
    </row>
    <row r="47" spans="1:5" x14ac:dyDescent="0.2">
      <c r="A47" s="33">
        <v>24</v>
      </c>
      <c r="B47" s="19" t="s">
        <v>30</v>
      </c>
      <c r="C47" s="34">
        <f t="shared" si="0"/>
        <v>42558.345285003823</v>
      </c>
      <c r="D47" s="35" t="s">
        <v>29</v>
      </c>
      <c r="E47" s="34">
        <f t="shared" si="1"/>
        <v>42558.345285003823</v>
      </c>
    </row>
    <row r="48" spans="1:5" x14ac:dyDescent="0.2">
      <c r="A48" s="31">
        <v>25</v>
      </c>
      <c r="B48" s="16" t="s">
        <v>30</v>
      </c>
      <c r="C48" s="27">
        <f t="shared" si="0"/>
        <v>42558.345285003823</v>
      </c>
      <c r="D48" s="32" t="s">
        <v>29</v>
      </c>
      <c r="E48" s="27">
        <f t="shared" si="1"/>
        <v>42558.345285003823</v>
      </c>
    </row>
    <row r="49" spans="1:5" x14ac:dyDescent="0.2">
      <c r="A49" s="33">
        <v>26</v>
      </c>
      <c r="B49" s="19" t="s">
        <v>30</v>
      </c>
      <c r="C49" s="34">
        <f t="shared" si="0"/>
        <v>42558.345285003823</v>
      </c>
      <c r="D49" s="35" t="s">
        <v>29</v>
      </c>
      <c r="E49" s="34">
        <f t="shared" si="1"/>
        <v>42558.345285003823</v>
      </c>
    </row>
    <row r="50" spans="1:5" x14ac:dyDescent="0.2">
      <c r="A50" s="31">
        <v>27</v>
      </c>
      <c r="B50" s="16" t="s">
        <v>30</v>
      </c>
      <c r="C50" s="27">
        <f t="shared" si="0"/>
        <v>42558.345285003823</v>
      </c>
      <c r="D50" s="32" t="s">
        <v>29</v>
      </c>
      <c r="E50" s="27">
        <f t="shared" si="1"/>
        <v>42558.345285003823</v>
      </c>
    </row>
    <row r="51" spans="1:5" x14ac:dyDescent="0.2">
      <c r="A51" s="33">
        <v>28</v>
      </c>
      <c r="B51" s="19" t="s">
        <v>30</v>
      </c>
      <c r="C51" s="34">
        <f t="shared" si="0"/>
        <v>42558.345285003823</v>
      </c>
      <c r="D51" s="35" t="s">
        <v>29</v>
      </c>
      <c r="E51" s="34">
        <f t="shared" si="1"/>
        <v>42558.345285003823</v>
      </c>
    </row>
    <row r="52" spans="1:5" x14ac:dyDescent="0.2">
      <c r="A52" s="31">
        <v>29</v>
      </c>
      <c r="B52" s="16" t="s">
        <v>30</v>
      </c>
      <c r="C52" s="27">
        <f t="shared" si="0"/>
        <v>42558.345285003823</v>
      </c>
      <c r="D52" s="32" t="s">
        <v>29</v>
      </c>
      <c r="E52" s="27">
        <f t="shared" si="1"/>
        <v>42558.345285003823</v>
      </c>
    </row>
    <row r="53" spans="1:5" x14ac:dyDescent="0.2">
      <c r="A53" s="33">
        <v>30</v>
      </c>
      <c r="B53" s="19" t="s">
        <v>30</v>
      </c>
      <c r="C53" s="34">
        <f t="shared" si="0"/>
        <v>42558.345285003823</v>
      </c>
      <c r="D53" s="35" t="s">
        <v>29</v>
      </c>
      <c r="E53" s="34">
        <f t="shared" si="1"/>
        <v>42558.345285003823</v>
      </c>
    </row>
    <row r="54" spans="1:5" x14ac:dyDescent="0.2">
      <c r="A54" s="31">
        <v>31</v>
      </c>
      <c r="B54" s="16" t="s">
        <v>30</v>
      </c>
      <c r="C54" s="27">
        <f t="shared" si="0"/>
        <v>42558.345285003823</v>
      </c>
      <c r="D54" s="32" t="s">
        <v>29</v>
      </c>
      <c r="E54" s="27">
        <f t="shared" si="1"/>
        <v>42558.345285003823</v>
      </c>
    </row>
    <row r="55" spans="1:5" x14ac:dyDescent="0.2">
      <c r="A55" s="33">
        <v>32</v>
      </c>
      <c r="B55" s="19" t="s">
        <v>30</v>
      </c>
      <c r="C55" s="34">
        <f t="shared" si="0"/>
        <v>42558.345285003823</v>
      </c>
      <c r="D55" s="35" t="s">
        <v>29</v>
      </c>
      <c r="E55" s="34">
        <f t="shared" si="1"/>
        <v>42558.345285003823</v>
      </c>
    </row>
    <row r="56" spans="1:5" x14ac:dyDescent="0.2">
      <c r="A56" s="31">
        <v>33</v>
      </c>
      <c r="B56" s="16" t="s">
        <v>30</v>
      </c>
      <c r="C56" s="27">
        <f t="shared" ref="C56:C83" si="2">$B$15</f>
        <v>42558.345285003823</v>
      </c>
      <c r="D56" s="32" t="s">
        <v>29</v>
      </c>
      <c r="E56" s="27">
        <f t="shared" ref="E56:E82" si="3">$B$15</f>
        <v>42558.345285003823</v>
      </c>
    </row>
    <row r="57" spans="1:5" x14ac:dyDescent="0.2">
      <c r="A57" s="33">
        <v>34</v>
      </c>
      <c r="B57" s="19" t="s">
        <v>30</v>
      </c>
      <c r="C57" s="34">
        <f t="shared" si="2"/>
        <v>42558.345285003823</v>
      </c>
      <c r="D57" s="35" t="s">
        <v>29</v>
      </c>
      <c r="E57" s="34">
        <f t="shared" si="3"/>
        <v>42558.345285003823</v>
      </c>
    </row>
    <row r="58" spans="1:5" x14ac:dyDescent="0.2">
      <c r="A58" s="31">
        <v>35</v>
      </c>
      <c r="B58" s="16" t="s">
        <v>30</v>
      </c>
      <c r="C58" s="27">
        <f t="shared" si="2"/>
        <v>42558.345285003823</v>
      </c>
      <c r="D58" s="32" t="s">
        <v>29</v>
      </c>
      <c r="E58" s="27">
        <f t="shared" si="3"/>
        <v>42558.345285003823</v>
      </c>
    </row>
    <row r="59" spans="1:5" x14ac:dyDescent="0.2">
      <c r="A59" s="33">
        <v>36</v>
      </c>
      <c r="B59" s="19" t="s">
        <v>30</v>
      </c>
      <c r="C59" s="34">
        <f t="shared" si="2"/>
        <v>42558.345285003823</v>
      </c>
      <c r="D59" s="35" t="s">
        <v>29</v>
      </c>
      <c r="E59" s="34">
        <f t="shared" si="3"/>
        <v>42558.345285003823</v>
      </c>
    </row>
    <row r="60" spans="1:5" x14ac:dyDescent="0.2">
      <c r="A60" s="31">
        <v>37</v>
      </c>
      <c r="B60" s="16" t="s">
        <v>30</v>
      </c>
      <c r="C60" s="27">
        <f t="shared" si="2"/>
        <v>42558.345285003823</v>
      </c>
      <c r="D60" s="32" t="s">
        <v>29</v>
      </c>
      <c r="E60" s="27">
        <f t="shared" si="3"/>
        <v>42558.345285003823</v>
      </c>
    </row>
    <row r="61" spans="1:5" x14ac:dyDescent="0.2">
      <c r="A61" s="33">
        <v>38</v>
      </c>
      <c r="B61" s="19" t="s">
        <v>30</v>
      </c>
      <c r="C61" s="34">
        <f t="shared" si="2"/>
        <v>42558.345285003823</v>
      </c>
      <c r="D61" s="35" t="s">
        <v>29</v>
      </c>
      <c r="E61" s="34">
        <f t="shared" si="3"/>
        <v>42558.345285003823</v>
      </c>
    </row>
    <row r="62" spans="1:5" x14ac:dyDescent="0.2">
      <c r="A62" s="31">
        <v>39</v>
      </c>
      <c r="B62" s="16" t="s">
        <v>30</v>
      </c>
      <c r="C62" s="27">
        <f t="shared" si="2"/>
        <v>42558.345285003823</v>
      </c>
      <c r="D62" s="32" t="s">
        <v>29</v>
      </c>
      <c r="E62" s="27">
        <f t="shared" si="3"/>
        <v>42558.345285003823</v>
      </c>
    </row>
    <row r="63" spans="1:5" x14ac:dyDescent="0.2">
      <c r="A63" s="33">
        <v>40</v>
      </c>
      <c r="B63" s="19" t="s">
        <v>30</v>
      </c>
      <c r="C63" s="34">
        <f t="shared" si="2"/>
        <v>42558.345285003823</v>
      </c>
      <c r="D63" s="35" t="s">
        <v>29</v>
      </c>
      <c r="E63" s="34">
        <f t="shared" si="3"/>
        <v>42558.345285003823</v>
      </c>
    </row>
    <row r="64" spans="1:5" x14ac:dyDescent="0.2">
      <c r="A64" s="31">
        <v>41</v>
      </c>
      <c r="B64" s="16" t="s">
        <v>30</v>
      </c>
      <c r="C64" s="27">
        <f t="shared" si="2"/>
        <v>42558.345285003823</v>
      </c>
      <c r="D64" s="32" t="s">
        <v>29</v>
      </c>
      <c r="E64" s="27">
        <f t="shared" si="3"/>
        <v>42558.345285003823</v>
      </c>
    </row>
    <row r="65" spans="1:5" x14ac:dyDescent="0.2">
      <c r="A65" s="33">
        <v>42</v>
      </c>
      <c r="B65" s="19" t="s">
        <v>30</v>
      </c>
      <c r="C65" s="34">
        <f t="shared" si="2"/>
        <v>42558.345285003823</v>
      </c>
      <c r="D65" s="35" t="s">
        <v>29</v>
      </c>
      <c r="E65" s="34">
        <f t="shared" si="3"/>
        <v>42558.345285003823</v>
      </c>
    </row>
    <row r="66" spans="1:5" x14ac:dyDescent="0.2">
      <c r="A66" s="31">
        <v>43</v>
      </c>
      <c r="B66" s="16" t="s">
        <v>30</v>
      </c>
      <c r="C66" s="27">
        <f t="shared" si="2"/>
        <v>42558.345285003823</v>
      </c>
      <c r="D66" s="32" t="s">
        <v>29</v>
      </c>
      <c r="E66" s="27">
        <f t="shared" si="3"/>
        <v>42558.345285003823</v>
      </c>
    </row>
    <row r="67" spans="1:5" x14ac:dyDescent="0.2">
      <c r="A67" s="33">
        <v>44</v>
      </c>
      <c r="B67" s="19" t="s">
        <v>30</v>
      </c>
      <c r="C67" s="34">
        <f t="shared" si="2"/>
        <v>42558.345285003823</v>
      </c>
      <c r="D67" s="35" t="s">
        <v>29</v>
      </c>
      <c r="E67" s="34">
        <f t="shared" si="3"/>
        <v>42558.345285003823</v>
      </c>
    </row>
    <row r="68" spans="1:5" x14ac:dyDescent="0.2">
      <c r="A68" s="31">
        <v>45</v>
      </c>
      <c r="B68" s="16" t="s">
        <v>30</v>
      </c>
      <c r="C68" s="27">
        <f t="shared" si="2"/>
        <v>42558.345285003823</v>
      </c>
      <c r="D68" s="32" t="s">
        <v>29</v>
      </c>
      <c r="E68" s="27">
        <f t="shared" si="3"/>
        <v>42558.345285003823</v>
      </c>
    </row>
    <row r="69" spans="1:5" x14ac:dyDescent="0.2">
      <c r="A69" s="33">
        <v>46</v>
      </c>
      <c r="B69" s="19" t="s">
        <v>30</v>
      </c>
      <c r="C69" s="34">
        <f t="shared" si="2"/>
        <v>42558.345285003823</v>
      </c>
      <c r="D69" s="35" t="s">
        <v>29</v>
      </c>
      <c r="E69" s="34">
        <f t="shared" si="3"/>
        <v>42558.345285003823</v>
      </c>
    </row>
    <row r="70" spans="1:5" x14ac:dyDescent="0.2">
      <c r="A70" s="31">
        <v>47</v>
      </c>
      <c r="B70" s="16" t="s">
        <v>30</v>
      </c>
      <c r="C70" s="27">
        <f t="shared" si="2"/>
        <v>42558.345285003823</v>
      </c>
      <c r="D70" s="32" t="s">
        <v>29</v>
      </c>
      <c r="E70" s="27">
        <f t="shared" si="3"/>
        <v>42558.345285003823</v>
      </c>
    </row>
    <row r="71" spans="1:5" x14ac:dyDescent="0.2">
      <c r="A71" s="33">
        <v>48</v>
      </c>
      <c r="B71" s="19" t="s">
        <v>30</v>
      </c>
      <c r="C71" s="34">
        <f t="shared" si="2"/>
        <v>42558.345285003823</v>
      </c>
      <c r="D71" s="35" t="s">
        <v>29</v>
      </c>
      <c r="E71" s="34">
        <f t="shared" si="3"/>
        <v>42558.345285003823</v>
      </c>
    </row>
    <row r="72" spans="1:5" x14ac:dyDescent="0.2">
      <c r="A72" s="31">
        <v>49</v>
      </c>
      <c r="B72" s="16" t="s">
        <v>30</v>
      </c>
      <c r="C72" s="27">
        <f t="shared" si="2"/>
        <v>42558.345285003823</v>
      </c>
      <c r="D72" s="32" t="s">
        <v>29</v>
      </c>
      <c r="E72" s="27">
        <f t="shared" si="3"/>
        <v>42558.345285003823</v>
      </c>
    </row>
    <row r="73" spans="1:5" x14ac:dyDescent="0.2">
      <c r="A73" s="33">
        <v>50</v>
      </c>
      <c r="B73" s="19" t="s">
        <v>30</v>
      </c>
      <c r="C73" s="34">
        <f t="shared" si="2"/>
        <v>42558.345285003823</v>
      </c>
      <c r="D73" s="35" t="s">
        <v>29</v>
      </c>
      <c r="E73" s="34">
        <f t="shared" si="3"/>
        <v>42558.345285003823</v>
      </c>
    </row>
    <row r="74" spans="1:5" x14ac:dyDescent="0.2">
      <c r="A74" s="31">
        <v>51</v>
      </c>
      <c r="B74" s="16" t="s">
        <v>30</v>
      </c>
      <c r="C74" s="27">
        <f t="shared" si="2"/>
        <v>42558.345285003823</v>
      </c>
      <c r="D74" s="32" t="s">
        <v>29</v>
      </c>
      <c r="E74" s="27">
        <f t="shared" si="3"/>
        <v>42558.345285003823</v>
      </c>
    </row>
    <row r="75" spans="1:5" x14ac:dyDescent="0.2">
      <c r="A75" s="33">
        <v>52</v>
      </c>
      <c r="B75" s="19" t="s">
        <v>30</v>
      </c>
      <c r="C75" s="34">
        <f t="shared" si="2"/>
        <v>42558.345285003823</v>
      </c>
      <c r="D75" s="35" t="s">
        <v>29</v>
      </c>
      <c r="E75" s="34">
        <f t="shared" si="3"/>
        <v>42558.345285003823</v>
      </c>
    </row>
    <row r="76" spans="1:5" x14ac:dyDescent="0.2">
      <c r="A76" s="31">
        <v>53</v>
      </c>
      <c r="B76" s="16" t="s">
        <v>30</v>
      </c>
      <c r="C76" s="27">
        <f t="shared" si="2"/>
        <v>42558.345285003823</v>
      </c>
      <c r="D76" s="32" t="s">
        <v>29</v>
      </c>
      <c r="E76" s="27">
        <f t="shared" si="3"/>
        <v>42558.345285003823</v>
      </c>
    </row>
    <row r="77" spans="1:5" x14ac:dyDescent="0.2">
      <c r="A77" s="33">
        <v>54</v>
      </c>
      <c r="B77" s="19" t="s">
        <v>30</v>
      </c>
      <c r="C77" s="34">
        <f t="shared" si="2"/>
        <v>42558.345285003823</v>
      </c>
      <c r="D77" s="35" t="s">
        <v>29</v>
      </c>
      <c r="E77" s="34">
        <f t="shared" si="3"/>
        <v>42558.345285003823</v>
      </c>
    </row>
    <row r="78" spans="1:5" x14ac:dyDescent="0.2">
      <c r="A78" s="31">
        <v>55</v>
      </c>
      <c r="B78" s="16" t="s">
        <v>30</v>
      </c>
      <c r="C78" s="27">
        <f t="shared" si="2"/>
        <v>42558.345285003823</v>
      </c>
      <c r="D78" s="32" t="s">
        <v>29</v>
      </c>
      <c r="E78" s="27">
        <f t="shared" si="3"/>
        <v>42558.345285003823</v>
      </c>
    </row>
    <row r="79" spans="1:5" x14ac:dyDescent="0.2">
      <c r="A79" s="33">
        <v>56</v>
      </c>
      <c r="B79" s="19" t="s">
        <v>30</v>
      </c>
      <c r="C79" s="34">
        <f t="shared" si="2"/>
        <v>42558.345285003823</v>
      </c>
      <c r="D79" s="35" t="s">
        <v>29</v>
      </c>
      <c r="E79" s="34">
        <f t="shared" si="3"/>
        <v>42558.345285003823</v>
      </c>
    </row>
    <row r="80" spans="1:5" x14ac:dyDescent="0.2">
      <c r="A80" s="31">
        <v>57</v>
      </c>
      <c r="B80" s="16" t="s">
        <v>30</v>
      </c>
      <c r="C80" s="27">
        <f t="shared" si="2"/>
        <v>42558.345285003823</v>
      </c>
      <c r="D80" s="32" t="s">
        <v>29</v>
      </c>
      <c r="E80" s="27">
        <f t="shared" si="3"/>
        <v>42558.345285003823</v>
      </c>
    </row>
    <row r="81" spans="1:5" x14ac:dyDescent="0.2">
      <c r="A81" s="33">
        <v>58</v>
      </c>
      <c r="B81" s="19" t="s">
        <v>30</v>
      </c>
      <c r="C81" s="34">
        <f t="shared" si="2"/>
        <v>42558.345285003823</v>
      </c>
      <c r="D81" s="35" t="s">
        <v>29</v>
      </c>
      <c r="E81" s="34">
        <f t="shared" si="3"/>
        <v>42558.345285003823</v>
      </c>
    </row>
    <row r="82" spans="1:5" x14ac:dyDescent="0.2">
      <c r="A82" s="31">
        <v>59</v>
      </c>
      <c r="B82" s="16" t="s">
        <v>30</v>
      </c>
      <c r="C82" s="27">
        <f t="shared" si="2"/>
        <v>42558.345285003823</v>
      </c>
      <c r="D82" s="32" t="s">
        <v>29</v>
      </c>
      <c r="E82" s="27">
        <f t="shared" si="3"/>
        <v>42558.345285003823</v>
      </c>
    </row>
    <row r="83" spans="1:5" x14ac:dyDescent="0.2">
      <c r="A83" s="31">
        <v>60</v>
      </c>
      <c r="B83" s="16" t="s">
        <v>31</v>
      </c>
      <c r="C83" s="27">
        <f t="shared" si="2"/>
        <v>42558.345285003823</v>
      </c>
      <c r="D83" s="28">
        <f>$B$18</f>
        <v>5514051.6896077637</v>
      </c>
      <c r="E83" s="28">
        <f>$B$19</f>
        <v>5556610.0348927677</v>
      </c>
    </row>
    <row r="85" spans="1:5" x14ac:dyDescent="0.2">
      <c r="A85" s="12" t="s">
        <v>32</v>
      </c>
      <c r="B85" s="12"/>
      <c r="C85" s="12"/>
    </row>
    <row r="86" spans="1:5" x14ac:dyDescent="0.2">
      <c r="A86" s="16" t="s">
        <v>33</v>
      </c>
      <c r="B86" s="36">
        <f>(1+IRR(E23:E83,0.005))^12-1</f>
        <v>8.5692021300020293E-2</v>
      </c>
    </row>
    <row r="87" spans="1:5" x14ac:dyDescent="0.2">
      <c r="A87" s="16" t="s">
        <v>34</v>
      </c>
      <c r="B87" s="36">
        <f>1-(1-B9)^(1/5)</f>
        <v>1.4451710850172828E-2</v>
      </c>
    </row>
    <row r="88" spans="1:5" x14ac:dyDescent="0.2">
      <c r="A88" s="37" t="s">
        <v>35</v>
      </c>
      <c r="B88" s="38">
        <f>B86-B87</f>
        <v>7.1240310449847466E-2</v>
      </c>
    </row>
    <row r="89" spans="1:5" x14ac:dyDescent="0.2">
      <c r="A89" s="16" t="s">
        <v>36</v>
      </c>
      <c r="B89" s="39">
        <v>6.4000000000000001E-2</v>
      </c>
    </row>
    <row r="90" spans="1:5" x14ac:dyDescent="0.2">
      <c r="A90" s="16" t="s">
        <v>37</v>
      </c>
      <c r="B90" s="40">
        <f>B88-B89</f>
        <v>7.2403104498474646E-3</v>
      </c>
    </row>
    <row r="92" spans="1:5" x14ac:dyDescent="0.2">
      <c r="A92" s="10"/>
      <c r="B92" s="10"/>
      <c r="C92" s="10"/>
      <c r="D92" s="10"/>
      <c r="E92" s="10"/>
    </row>
  </sheetData>
  <mergeCells count="7">
    <mergeCell ref="A85:C85"/>
    <mergeCell ref="A92:E92"/>
    <mergeCell ref="A1:E1"/>
    <mergeCell ref="A3:B3"/>
    <mergeCell ref="A13:B13"/>
    <mergeCell ref="A21:D21"/>
    <mergeCell ref="A32:B3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5"/>
  <sheetViews>
    <sheetView topLeftCell="A86" zoomScaleNormal="100" workbookViewId="0">
      <selection activeCell="C109" sqref="C109"/>
    </sheetView>
  </sheetViews>
  <sheetFormatPr baseColWidth="10" defaultColWidth="8.6640625" defaultRowHeight="15" x14ac:dyDescent="0.2"/>
  <cols>
    <col min="1" max="1" width="32" customWidth="1"/>
    <col min="2" max="4" width="20" customWidth="1"/>
    <col min="5" max="7" width="22" customWidth="1"/>
  </cols>
  <sheetData>
    <row r="1" spans="1:7" ht="21.75" customHeight="1" x14ac:dyDescent="0.2">
      <c r="A1" s="9" t="s">
        <v>38</v>
      </c>
      <c r="B1" s="9"/>
      <c r="C1" s="9"/>
      <c r="D1" s="9"/>
      <c r="E1" s="9"/>
      <c r="F1" s="9"/>
      <c r="G1" s="9"/>
    </row>
    <row r="3" spans="1:7" ht="15" customHeight="1" x14ac:dyDescent="0.2">
      <c r="A3" s="13" t="s">
        <v>39</v>
      </c>
      <c r="B3" s="13"/>
      <c r="C3" s="13"/>
      <c r="D3" s="13"/>
      <c r="E3" s="13"/>
      <c r="F3" s="13"/>
      <c r="G3" s="13"/>
    </row>
    <row r="4" spans="1:7" ht="30" customHeight="1" x14ac:dyDescent="0.2">
      <c r="A4" s="8" t="s">
        <v>40</v>
      </c>
      <c r="B4" s="8"/>
      <c r="C4" s="8"/>
      <c r="D4" s="8"/>
      <c r="E4" s="8"/>
      <c r="F4" s="8"/>
      <c r="G4" s="8"/>
    </row>
    <row r="5" spans="1:7" ht="30" customHeight="1" x14ac:dyDescent="0.2">
      <c r="A5" s="8" t="s">
        <v>170</v>
      </c>
      <c r="B5" s="8"/>
      <c r="C5" s="8"/>
      <c r="D5" s="8"/>
      <c r="E5" s="8"/>
      <c r="F5" s="8"/>
      <c r="G5" s="8"/>
    </row>
    <row r="7" spans="1:7" ht="15" customHeight="1" x14ac:dyDescent="0.2">
      <c r="A7" s="13" t="s">
        <v>41</v>
      </c>
      <c r="B7" s="13"/>
      <c r="C7" s="13"/>
      <c r="D7" s="13" t="s">
        <v>42</v>
      </c>
      <c r="E7" s="13"/>
      <c r="F7" s="13"/>
      <c r="G7" s="13"/>
    </row>
    <row r="8" spans="1:7" ht="15" customHeight="1" x14ac:dyDescent="0.2">
      <c r="A8" s="41" t="s">
        <v>43</v>
      </c>
      <c r="B8" s="17">
        <v>77700000</v>
      </c>
      <c r="D8" s="41" t="s">
        <v>44</v>
      </c>
      <c r="E8" s="22">
        <v>257569</v>
      </c>
      <c r="F8" s="7" t="s">
        <v>45</v>
      </c>
      <c r="G8" s="7"/>
    </row>
    <row r="9" spans="1:7" ht="26.25" customHeight="1" x14ac:dyDescent="0.2">
      <c r="A9" s="43" t="s">
        <v>46</v>
      </c>
      <c r="B9" s="44">
        <v>4.2700000000000002E-2</v>
      </c>
      <c r="D9" s="43" t="s">
        <v>47</v>
      </c>
      <c r="E9" s="45">
        <v>2.15</v>
      </c>
      <c r="F9" s="6" t="s">
        <v>48</v>
      </c>
      <c r="G9" s="6"/>
    </row>
    <row r="10" spans="1:7" ht="15" customHeight="1" x14ac:dyDescent="0.2">
      <c r="A10" s="41" t="s">
        <v>6</v>
      </c>
      <c r="B10" s="22">
        <v>360</v>
      </c>
      <c r="D10" s="41" t="s">
        <v>49</v>
      </c>
      <c r="E10" s="22">
        <v>218518</v>
      </c>
      <c r="F10" s="7" t="s">
        <v>50</v>
      </c>
      <c r="G10" s="7"/>
    </row>
    <row r="11" spans="1:7" ht="26.25" customHeight="1" x14ac:dyDescent="0.2">
      <c r="A11" s="43" t="s">
        <v>51</v>
      </c>
      <c r="B11" s="47">
        <v>60</v>
      </c>
      <c r="D11" s="43" t="s">
        <v>52</v>
      </c>
      <c r="E11" s="45">
        <v>1.85</v>
      </c>
      <c r="F11" s="6" t="s">
        <v>48</v>
      </c>
      <c r="G11" s="6"/>
    </row>
    <row r="12" spans="1:7" ht="26.25" customHeight="1" x14ac:dyDescent="0.2">
      <c r="A12" s="41" t="s">
        <v>53</v>
      </c>
      <c r="B12" s="17">
        <v>13015058</v>
      </c>
      <c r="D12" s="41" t="s">
        <v>54</v>
      </c>
      <c r="E12" s="48">
        <v>0.5</v>
      </c>
      <c r="F12" s="7" t="s">
        <v>55</v>
      </c>
      <c r="G12" s="7"/>
    </row>
    <row r="13" spans="1:7" ht="15" customHeight="1" x14ac:dyDescent="0.2">
      <c r="A13" s="43" t="s">
        <v>56</v>
      </c>
      <c r="B13" s="49">
        <v>2.83</v>
      </c>
      <c r="D13" s="43" t="s">
        <v>57</v>
      </c>
      <c r="E13" s="50">
        <v>0.1</v>
      </c>
      <c r="F13" s="6" t="s">
        <v>58</v>
      </c>
      <c r="G13" s="6"/>
    </row>
    <row r="14" spans="1:7" ht="15" customHeight="1" x14ac:dyDescent="0.2">
      <c r="A14" s="41" t="s">
        <v>59</v>
      </c>
      <c r="B14" s="17">
        <v>158000000</v>
      </c>
      <c r="D14" s="41" t="s">
        <v>60</v>
      </c>
      <c r="E14" s="25">
        <v>0.15</v>
      </c>
      <c r="F14" s="7"/>
      <c r="G14" s="7"/>
    </row>
    <row r="15" spans="1:7" ht="15" customHeight="1" x14ac:dyDescent="0.2">
      <c r="A15" s="43" t="s">
        <v>61</v>
      </c>
      <c r="B15" s="50">
        <v>0.49199999999999999</v>
      </c>
      <c r="D15" s="43" t="s">
        <v>62</v>
      </c>
      <c r="E15" s="47">
        <v>30</v>
      </c>
      <c r="F15" s="6" t="s">
        <v>63</v>
      </c>
      <c r="G15" s="6"/>
    </row>
    <row r="21" spans="1:7" ht="15" customHeight="1" x14ac:dyDescent="0.2">
      <c r="A21" s="12" t="s">
        <v>64</v>
      </c>
      <c r="B21" s="12"/>
      <c r="C21" s="12"/>
      <c r="D21" s="12" t="s">
        <v>65</v>
      </c>
      <c r="E21" s="12"/>
      <c r="F21" s="12"/>
      <c r="G21" s="12"/>
    </row>
    <row r="22" spans="1:7" ht="15" customHeight="1" x14ac:dyDescent="0.2">
      <c r="A22" s="41" t="s">
        <v>66</v>
      </c>
      <c r="B22" s="27">
        <f>PMT(B9/12,B10,-B8)</f>
        <v>383147.59916338581</v>
      </c>
      <c r="D22" s="13" t="s">
        <v>67</v>
      </c>
      <c r="E22" s="13"/>
      <c r="F22" s="13" t="s">
        <v>68</v>
      </c>
      <c r="G22" s="13"/>
    </row>
    <row r="23" spans="1:7" ht="15" customHeight="1" x14ac:dyDescent="0.2">
      <c r="A23" s="41" t="s">
        <v>69</v>
      </c>
      <c r="B23" s="28">
        <f>B22*12</f>
        <v>4597771.1899606297</v>
      </c>
      <c r="D23" s="5" t="s">
        <v>70</v>
      </c>
      <c r="E23" s="5"/>
      <c r="F23" s="4">
        <v>309700000</v>
      </c>
      <c r="G23" s="4"/>
    </row>
    <row r="24" spans="1:7" ht="15" customHeight="1" x14ac:dyDescent="0.2">
      <c r="A24" s="41" t="s">
        <v>71</v>
      </c>
      <c r="B24" s="28">
        <f>E8*E9</f>
        <v>553773.35</v>
      </c>
      <c r="D24" s="5" t="s">
        <v>72</v>
      </c>
      <c r="E24" s="5"/>
      <c r="F24" s="4">
        <v>29434000</v>
      </c>
      <c r="G24" s="4"/>
    </row>
    <row r="25" spans="1:7" ht="15" customHeight="1" x14ac:dyDescent="0.2">
      <c r="A25" s="41" t="s">
        <v>73</v>
      </c>
      <c r="B25" s="28">
        <f>E10*E11</f>
        <v>404258.30000000005</v>
      </c>
      <c r="D25" s="5" t="s">
        <v>74</v>
      </c>
      <c r="E25" s="5"/>
      <c r="F25" s="3">
        <v>0</v>
      </c>
      <c r="G25" s="3"/>
    </row>
    <row r="26" spans="1:7" ht="15" customHeight="1" x14ac:dyDescent="0.2">
      <c r="A26" s="51" t="s">
        <v>75</v>
      </c>
      <c r="B26" s="52">
        <f>B24+B25</f>
        <v>958031.65</v>
      </c>
      <c r="D26" s="5" t="s">
        <v>76</v>
      </c>
      <c r="E26" s="5"/>
      <c r="F26" s="2">
        <v>4.66349E-2</v>
      </c>
      <c r="G26" s="2"/>
    </row>
    <row r="27" spans="1:7" ht="15" customHeight="1" x14ac:dyDescent="0.2">
      <c r="A27" s="41" t="s">
        <v>77</v>
      </c>
      <c r="B27" s="28">
        <f>(B12-B26)*E12</f>
        <v>6028513.1749999998</v>
      </c>
      <c r="D27" s="5" t="s">
        <v>51</v>
      </c>
      <c r="E27" s="5"/>
      <c r="F27" s="1">
        <v>60</v>
      </c>
      <c r="G27" s="1"/>
    </row>
    <row r="28" spans="1:7" ht="15" customHeight="1" x14ac:dyDescent="0.2">
      <c r="A28" s="51" t="s">
        <v>78</v>
      </c>
      <c r="B28" s="52">
        <f>B12-B26-B27</f>
        <v>6028513.1749999998</v>
      </c>
      <c r="D28" s="5" t="s">
        <v>79</v>
      </c>
      <c r="E28" s="5"/>
      <c r="F28" s="77">
        <f>B34</f>
        <v>14044193.564060561</v>
      </c>
      <c r="G28" s="77"/>
    </row>
    <row r="29" spans="1:7" ht="15" customHeight="1" x14ac:dyDescent="0.2">
      <c r="A29" s="51" t="s">
        <v>80</v>
      </c>
      <c r="B29" s="53">
        <f>B28/B23</f>
        <v>1.3111816412620614</v>
      </c>
      <c r="D29" s="5" t="s">
        <v>81</v>
      </c>
      <c r="E29" s="5"/>
      <c r="F29" s="78">
        <f>F28/F23</f>
        <v>4.5347735111593679E-2</v>
      </c>
      <c r="G29" s="78"/>
    </row>
    <row r="30" spans="1:7" ht="15" customHeight="1" x14ac:dyDescent="0.2">
      <c r="A30" s="41" t="s">
        <v>82</v>
      </c>
      <c r="B30" s="28">
        <f>B28/E13</f>
        <v>60285131.749999993</v>
      </c>
      <c r="D30" s="5" t="s">
        <v>83</v>
      </c>
      <c r="E30" s="5"/>
      <c r="F30" s="79">
        <f>F24*F26/12</f>
        <v>114387.63721666667</v>
      </c>
      <c r="G30" s="79"/>
    </row>
    <row r="31" spans="1:7" ht="15" customHeight="1" x14ac:dyDescent="0.2">
      <c r="A31" s="41" t="s">
        <v>84</v>
      </c>
      <c r="B31" s="28">
        <f>ABS(FV(B9/12,E15,-B22,B8))</f>
        <v>74329325.314060554</v>
      </c>
      <c r="D31" s="80" t="s">
        <v>85</v>
      </c>
      <c r="E31" s="80"/>
      <c r="F31" s="81">
        <f>MIN(F28,F24)</f>
        <v>14044193.564060561</v>
      </c>
      <c r="G31" s="81"/>
    </row>
    <row r="32" spans="1:7" ht="15" customHeight="1" x14ac:dyDescent="0.2">
      <c r="A32" s="41" t="s">
        <v>86</v>
      </c>
      <c r="B32" s="28">
        <f>MIN(B30,B31)</f>
        <v>60285131.749999993</v>
      </c>
      <c r="D32" s="80" t="s">
        <v>87</v>
      </c>
      <c r="E32" s="80"/>
      <c r="F32" s="82">
        <f>F24-F31</f>
        <v>15389806.435939439</v>
      </c>
      <c r="G32" s="82"/>
    </row>
    <row r="33" spans="1:7" ht="15" customHeight="1" x14ac:dyDescent="0.2">
      <c r="A33" s="41" t="s">
        <v>14</v>
      </c>
      <c r="B33" s="40">
        <f>B32/B31</f>
        <v>0.81105447271692266</v>
      </c>
      <c r="D33" s="80" t="s">
        <v>88</v>
      </c>
      <c r="E33" s="80"/>
      <c r="F33" s="83">
        <f>F32/F24</f>
        <v>0.52285813806956027</v>
      </c>
      <c r="G33" s="83"/>
    </row>
    <row r="34" spans="1:7" ht="15" customHeight="1" x14ac:dyDescent="0.2">
      <c r="A34" s="51" t="s">
        <v>89</v>
      </c>
      <c r="B34" s="54">
        <f>B31-B32</f>
        <v>14044193.564060561</v>
      </c>
    </row>
    <row r="36" spans="1:7" ht="15" customHeight="1" x14ac:dyDescent="0.2">
      <c r="A36" s="12" t="s">
        <v>90</v>
      </c>
      <c r="B36" s="12"/>
      <c r="C36" s="12"/>
      <c r="D36" s="12"/>
      <c r="E36" s="12"/>
      <c r="F36" s="12"/>
      <c r="G36" s="12"/>
    </row>
    <row r="37" spans="1:7" ht="27.75" customHeight="1" x14ac:dyDescent="0.2">
      <c r="A37" s="30" t="s">
        <v>23</v>
      </c>
      <c r="B37" s="30" t="s">
        <v>24</v>
      </c>
      <c r="C37" s="56" t="s">
        <v>91</v>
      </c>
      <c r="D37" s="56" t="s">
        <v>92</v>
      </c>
      <c r="E37" s="56" t="s">
        <v>93</v>
      </c>
      <c r="F37" s="30" t="s">
        <v>94</v>
      </c>
      <c r="G37" s="30" t="s">
        <v>95</v>
      </c>
    </row>
    <row r="38" spans="1:7" ht="15" customHeight="1" x14ac:dyDescent="0.2">
      <c r="A38" s="31">
        <v>0</v>
      </c>
      <c r="B38" s="41" t="s">
        <v>96</v>
      </c>
      <c r="C38" s="28">
        <v>-29434000</v>
      </c>
      <c r="D38" s="28">
        <v>-29434000</v>
      </c>
      <c r="E38" s="28">
        <v>-29434000</v>
      </c>
      <c r="F38" s="28">
        <v>-29434000</v>
      </c>
      <c r="G38" s="42" t="s">
        <v>97</v>
      </c>
    </row>
    <row r="39" spans="1:7" ht="15" customHeight="1" x14ac:dyDescent="0.2">
      <c r="A39" s="31">
        <v>1</v>
      </c>
      <c r="B39" s="41" t="s">
        <v>98</v>
      </c>
      <c r="C39" s="27">
        <f t="shared" ref="C39:D67" si="0">$F$30</f>
        <v>114387.63721666667</v>
      </c>
      <c r="D39" s="27">
        <f t="shared" si="0"/>
        <v>114387.63721666667</v>
      </c>
      <c r="E39" s="27">
        <f t="shared" ref="E39:E70" si="1">0.85*C39+0.15*D39</f>
        <v>114387.63721666667</v>
      </c>
      <c r="F39" s="27">
        <f t="shared" ref="F39:F70" si="2">F38+E39</f>
        <v>-29319612.362783335</v>
      </c>
      <c r="G39" s="42"/>
    </row>
    <row r="40" spans="1:7" ht="15" customHeight="1" x14ac:dyDescent="0.2">
      <c r="A40" s="33">
        <v>2</v>
      </c>
      <c r="B40" s="43" t="s">
        <v>98</v>
      </c>
      <c r="C40" s="34">
        <f t="shared" si="0"/>
        <v>114387.63721666667</v>
      </c>
      <c r="D40" s="27">
        <f t="shared" si="0"/>
        <v>114387.63721666667</v>
      </c>
      <c r="E40" s="34">
        <f t="shared" si="1"/>
        <v>114387.63721666667</v>
      </c>
      <c r="F40" s="34">
        <f t="shared" si="2"/>
        <v>-29205224.72556667</v>
      </c>
      <c r="G40" s="46"/>
    </row>
    <row r="41" spans="1:7" ht="15" customHeight="1" x14ac:dyDescent="0.2">
      <c r="A41" s="31">
        <v>3</v>
      </c>
      <c r="B41" s="41" t="s">
        <v>98</v>
      </c>
      <c r="C41" s="27">
        <f t="shared" si="0"/>
        <v>114387.63721666667</v>
      </c>
      <c r="D41" s="27">
        <f t="shared" si="0"/>
        <v>114387.63721666667</v>
      </c>
      <c r="E41" s="27">
        <f t="shared" si="1"/>
        <v>114387.63721666667</v>
      </c>
      <c r="F41" s="27">
        <f t="shared" si="2"/>
        <v>-29090837.088350005</v>
      </c>
      <c r="G41" s="42"/>
    </row>
    <row r="42" spans="1:7" ht="15" customHeight="1" x14ac:dyDescent="0.2">
      <c r="A42" s="33">
        <v>4</v>
      </c>
      <c r="B42" s="43" t="s">
        <v>98</v>
      </c>
      <c r="C42" s="34">
        <f t="shared" si="0"/>
        <v>114387.63721666667</v>
      </c>
      <c r="D42" s="27">
        <f t="shared" si="0"/>
        <v>114387.63721666667</v>
      </c>
      <c r="E42" s="34">
        <f t="shared" si="1"/>
        <v>114387.63721666667</v>
      </c>
      <c r="F42" s="34">
        <f t="shared" si="2"/>
        <v>-28976449.451133341</v>
      </c>
      <c r="G42" s="46"/>
    </row>
    <row r="43" spans="1:7" ht="15" customHeight="1" x14ac:dyDescent="0.2">
      <c r="A43" s="31">
        <v>5</v>
      </c>
      <c r="B43" s="41" t="s">
        <v>98</v>
      </c>
      <c r="C43" s="27">
        <f t="shared" si="0"/>
        <v>114387.63721666667</v>
      </c>
      <c r="D43" s="27">
        <f t="shared" si="0"/>
        <v>114387.63721666667</v>
      </c>
      <c r="E43" s="27">
        <f t="shared" si="1"/>
        <v>114387.63721666667</v>
      </c>
      <c r="F43" s="27">
        <f t="shared" si="2"/>
        <v>-28862061.813916676</v>
      </c>
      <c r="G43" s="42"/>
    </row>
    <row r="44" spans="1:7" ht="15" customHeight="1" x14ac:dyDescent="0.2">
      <c r="A44" s="33">
        <v>6</v>
      </c>
      <c r="B44" s="43" t="s">
        <v>98</v>
      </c>
      <c r="C44" s="34">
        <f t="shared" si="0"/>
        <v>114387.63721666667</v>
      </c>
      <c r="D44" s="27">
        <f t="shared" si="0"/>
        <v>114387.63721666667</v>
      </c>
      <c r="E44" s="34">
        <f>0.85*C44+0.15*D44</f>
        <v>114387.63721666667</v>
      </c>
      <c r="F44" s="34">
        <f t="shared" si="2"/>
        <v>-28747674.176700011</v>
      </c>
      <c r="G44" s="46"/>
    </row>
    <row r="45" spans="1:7" ht="15" customHeight="1" x14ac:dyDescent="0.2">
      <c r="A45" s="31">
        <v>7</v>
      </c>
      <c r="B45" s="41" t="s">
        <v>98</v>
      </c>
      <c r="C45" s="27">
        <f t="shared" si="0"/>
        <v>114387.63721666667</v>
      </c>
      <c r="D45" s="27">
        <f t="shared" si="0"/>
        <v>114387.63721666667</v>
      </c>
      <c r="E45" s="27">
        <f t="shared" si="1"/>
        <v>114387.63721666667</v>
      </c>
      <c r="F45" s="27">
        <f t="shared" si="2"/>
        <v>-28633286.539483346</v>
      </c>
      <c r="G45" s="42"/>
    </row>
    <row r="46" spans="1:7" ht="15" customHeight="1" x14ac:dyDescent="0.2">
      <c r="A46" s="33">
        <v>8</v>
      </c>
      <c r="B46" s="43" t="s">
        <v>98</v>
      </c>
      <c r="C46" s="34">
        <f t="shared" si="0"/>
        <v>114387.63721666667</v>
      </c>
      <c r="D46" s="27">
        <f t="shared" si="0"/>
        <v>114387.63721666667</v>
      </c>
      <c r="E46" s="34">
        <f t="shared" si="1"/>
        <v>114387.63721666667</v>
      </c>
      <c r="F46" s="34">
        <f t="shared" si="2"/>
        <v>-28518898.902266681</v>
      </c>
      <c r="G46" s="46"/>
    </row>
    <row r="47" spans="1:7" ht="15" customHeight="1" x14ac:dyDescent="0.2">
      <c r="A47" s="31">
        <v>9</v>
      </c>
      <c r="B47" s="41" t="s">
        <v>98</v>
      </c>
      <c r="C47" s="27">
        <f t="shared" si="0"/>
        <v>114387.63721666667</v>
      </c>
      <c r="D47" s="27">
        <f t="shared" si="0"/>
        <v>114387.63721666667</v>
      </c>
      <c r="E47" s="27">
        <f t="shared" si="1"/>
        <v>114387.63721666667</v>
      </c>
      <c r="F47" s="27">
        <f t="shared" si="2"/>
        <v>-28404511.265050016</v>
      </c>
      <c r="G47" s="42"/>
    </row>
    <row r="48" spans="1:7" ht="15" customHeight="1" x14ac:dyDescent="0.2">
      <c r="A48" s="33">
        <v>10</v>
      </c>
      <c r="B48" s="43" t="s">
        <v>98</v>
      </c>
      <c r="C48" s="34">
        <f t="shared" si="0"/>
        <v>114387.63721666667</v>
      </c>
      <c r="D48" s="27">
        <f t="shared" si="0"/>
        <v>114387.63721666667</v>
      </c>
      <c r="E48" s="34">
        <f t="shared" si="1"/>
        <v>114387.63721666667</v>
      </c>
      <c r="F48" s="34">
        <f t="shared" si="2"/>
        <v>-28290123.627833351</v>
      </c>
      <c r="G48" s="46"/>
    </row>
    <row r="49" spans="1:7" ht="15" customHeight="1" x14ac:dyDescent="0.2">
      <c r="A49" s="31">
        <v>11</v>
      </c>
      <c r="B49" s="41" t="s">
        <v>98</v>
      </c>
      <c r="C49" s="27">
        <f t="shared" si="0"/>
        <v>114387.63721666667</v>
      </c>
      <c r="D49" s="27">
        <f t="shared" si="0"/>
        <v>114387.63721666667</v>
      </c>
      <c r="E49" s="27">
        <f t="shared" si="1"/>
        <v>114387.63721666667</v>
      </c>
      <c r="F49" s="27">
        <f t="shared" si="2"/>
        <v>-28175735.990616687</v>
      </c>
      <c r="G49" s="42"/>
    </row>
    <row r="50" spans="1:7" ht="15" customHeight="1" x14ac:dyDescent="0.2">
      <c r="A50" s="33">
        <v>12</v>
      </c>
      <c r="B50" s="43" t="s">
        <v>98</v>
      </c>
      <c r="C50" s="34">
        <f t="shared" si="0"/>
        <v>114387.63721666667</v>
      </c>
      <c r="D50" s="27">
        <f t="shared" si="0"/>
        <v>114387.63721666667</v>
      </c>
      <c r="E50" s="34">
        <f t="shared" si="1"/>
        <v>114387.63721666667</v>
      </c>
      <c r="F50" s="34">
        <f t="shared" si="2"/>
        <v>-28061348.353400022</v>
      </c>
      <c r="G50" s="46"/>
    </row>
    <row r="51" spans="1:7" ht="15" customHeight="1" x14ac:dyDescent="0.2">
      <c r="A51" s="31">
        <v>13</v>
      </c>
      <c r="B51" s="41" t="s">
        <v>98</v>
      </c>
      <c r="C51" s="27">
        <f t="shared" si="0"/>
        <v>114387.63721666667</v>
      </c>
      <c r="D51" s="27">
        <f t="shared" si="0"/>
        <v>114387.63721666667</v>
      </c>
      <c r="E51" s="27">
        <f t="shared" si="1"/>
        <v>114387.63721666667</v>
      </c>
      <c r="F51" s="27">
        <f t="shared" si="2"/>
        <v>-27946960.716183357</v>
      </c>
      <c r="G51" s="42"/>
    </row>
    <row r="52" spans="1:7" ht="15" customHeight="1" x14ac:dyDescent="0.2">
      <c r="A52" s="33">
        <v>14</v>
      </c>
      <c r="B52" s="43" t="s">
        <v>98</v>
      </c>
      <c r="C52" s="34">
        <f t="shared" si="0"/>
        <v>114387.63721666667</v>
      </c>
      <c r="D52" s="27">
        <f t="shared" si="0"/>
        <v>114387.63721666667</v>
      </c>
      <c r="E52" s="34">
        <f t="shared" si="1"/>
        <v>114387.63721666667</v>
      </c>
      <c r="F52" s="34">
        <f t="shared" si="2"/>
        <v>-27832573.078966692</v>
      </c>
      <c r="G52" s="46"/>
    </row>
    <row r="53" spans="1:7" ht="15" customHeight="1" x14ac:dyDescent="0.2">
      <c r="A53" s="31">
        <v>15</v>
      </c>
      <c r="B53" s="41" t="s">
        <v>98</v>
      </c>
      <c r="C53" s="27">
        <f t="shared" si="0"/>
        <v>114387.63721666667</v>
      </c>
      <c r="D53" s="27">
        <f t="shared" si="0"/>
        <v>114387.63721666667</v>
      </c>
      <c r="E53" s="27">
        <f t="shared" si="1"/>
        <v>114387.63721666667</v>
      </c>
      <c r="F53" s="27">
        <f t="shared" si="2"/>
        <v>-27718185.441750027</v>
      </c>
      <c r="G53" s="42"/>
    </row>
    <row r="54" spans="1:7" ht="15" customHeight="1" x14ac:dyDescent="0.2">
      <c r="A54" s="33">
        <v>16</v>
      </c>
      <c r="B54" s="43" t="s">
        <v>98</v>
      </c>
      <c r="C54" s="34">
        <f t="shared" si="0"/>
        <v>114387.63721666667</v>
      </c>
      <c r="D54" s="27">
        <f t="shared" si="0"/>
        <v>114387.63721666667</v>
      </c>
      <c r="E54" s="34">
        <f t="shared" si="1"/>
        <v>114387.63721666667</v>
      </c>
      <c r="F54" s="34">
        <f t="shared" si="2"/>
        <v>-27603797.804533362</v>
      </c>
      <c r="G54" s="46"/>
    </row>
    <row r="55" spans="1:7" ht="15" customHeight="1" x14ac:dyDescent="0.2">
      <c r="A55" s="31">
        <v>17</v>
      </c>
      <c r="B55" s="41" t="s">
        <v>98</v>
      </c>
      <c r="C55" s="27">
        <f t="shared" si="0"/>
        <v>114387.63721666667</v>
      </c>
      <c r="D55" s="27">
        <f t="shared" si="0"/>
        <v>114387.63721666667</v>
      </c>
      <c r="E55" s="27">
        <f t="shared" si="1"/>
        <v>114387.63721666667</v>
      </c>
      <c r="F55" s="27">
        <f t="shared" si="2"/>
        <v>-27489410.167316698</v>
      </c>
      <c r="G55" s="42"/>
    </row>
    <row r="56" spans="1:7" ht="15" customHeight="1" x14ac:dyDescent="0.2">
      <c r="A56" s="33">
        <v>18</v>
      </c>
      <c r="B56" s="43" t="s">
        <v>98</v>
      </c>
      <c r="C56" s="34">
        <f t="shared" si="0"/>
        <v>114387.63721666667</v>
      </c>
      <c r="D56" s="27">
        <f t="shared" si="0"/>
        <v>114387.63721666667</v>
      </c>
      <c r="E56" s="34">
        <f t="shared" si="1"/>
        <v>114387.63721666667</v>
      </c>
      <c r="F56" s="34">
        <f t="shared" si="2"/>
        <v>-27375022.530100033</v>
      </c>
      <c r="G56" s="46"/>
    </row>
    <row r="57" spans="1:7" ht="15" customHeight="1" x14ac:dyDescent="0.2">
      <c r="A57" s="31">
        <v>19</v>
      </c>
      <c r="B57" s="41" t="s">
        <v>98</v>
      </c>
      <c r="C57" s="27">
        <f t="shared" si="0"/>
        <v>114387.63721666667</v>
      </c>
      <c r="D57" s="27">
        <f t="shared" si="0"/>
        <v>114387.63721666667</v>
      </c>
      <c r="E57" s="27">
        <f t="shared" si="1"/>
        <v>114387.63721666667</v>
      </c>
      <c r="F57" s="27">
        <f t="shared" si="2"/>
        <v>-27260634.892883368</v>
      </c>
      <c r="G57" s="42"/>
    </row>
    <row r="58" spans="1:7" ht="15" customHeight="1" x14ac:dyDescent="0.2">
      <c r="A58" s="33">
        <v>20</v>
      </c>
      <c r="B58" s="43" t="s">
        <v>98</v>
      </c>
      <c r="C58" s="34">
        <f t="shared" si="0"/>
        <v>114387.63721666667</v>
      </c>
      <c r="D58" s="27">
        <f t="shared" si="0"/>
        <v>114387.63721666667</v>
      </c>
      <c r="E58" s="34">
        <f t="shared" si="1"/>
        <v>114387.63721666667</v>
      </c>
      <c r="F58" s="34">
        <f t="shared" si="2"/>
        <v>-27146247.255666703</v>
      </c>
      <c r="G58" s="46"/>
    </row>
    <row r="59" spans="1:7" ht="15" customHeight="1" x14ac:dyDescent="0.2">
      <c r="A59" s="31">
        <v>21</v>
      </c>
      <c r="B59" s="41" t="s">
        <v>98</v>
      </c>
      <c r="C59" s="27">
        <f t="shared" si="0"/>
        <v>114387.63721666667</v>
      </c>
      <c r="D59" s="27">
        <f t="shared" si="0"/>
        <v>114387.63721666667</v>
      </c>
      <c r="E59" s="27">
        <f t="shared" si="1"/>
        <v>114387.63721666667</v>
      </c>
      <c r="F59" s="27">
        <f t="shared" si="2"/>
        <v>-27031859.618450038</v>
      </c>
      <c r="G59" s="42"/>
    </row>
    <row r="60" spans="1:7" ht="15" customHeight="1" x14ac:dyDescent="0.2">
      <c r="A60" s="33">
        <v>22</v>
      </c>
      <c r="B60" s="43" t="s">
        <v>98</v>
      </c>
      <c r="C60" s="34">
        <f t="shared" si="0"/>
        <v>114387.63721666667</v>
      </c>
      <c r="D60" s="27">
        <f t="shared" si="0"/>
        <v>114387.63721666667</v>
      </c>
      <c r="E60" s="34">
        <f t="shared" si="1"/>
        <v>114387.63721666667</v>
      </c>
      <c r="F60" s="34">
        <f t="shared" si="2"/>
        <v>-26917471.981233373</v>
      </c>
      <c r="G60" s="46"/>
    </row>
    <row r="61" spans="1:7" ht="15" customHeight="1" x14ac:dyDescent="0.2">
      <c r="A61" s="31">
        <v>23</v>
      </c>
      <c r="B61" s="41" t="s">
        <v>98</v>
      </c>
      <c r="C61" s="27">
        <f t="shared" si="0"/>
        <v>114387.63721666667</v>
      </c>
      <c r="D61" s="27">
        <f t="shared" si="0"/>
        <v>114387.63721666667</v>
      </c>
      <c r="E61" s="27">
        <f t="shared" si="1"/>
        <v>114387.63721666667</v>
      </c>
      <c r="F61" s="27">
        <f t="shared" si="2"/>
        <v>-26803084.344016708</v>
      </c>
      <c r="G61" s="42"/>
    </row>
    <row r="62" spans="1:7" ht="15" customHeight="1" x14ac:dyDescent="0.2">
      <c r="A62" s="33">
        <v>24</v>
      </c>
      <c r="B62" s="43" t="s">
        <v>98</v>
      </c>
      <c r="C62" s="34">
        <f t="shared" si="0"/>
        <v>114387.63721666667</v>
      </c>
      <c r="D62" s="27">
        <f t="shared" si="0"/>
        <v>114387.63721666667</v>
      </c>
      <c r="E62" s="34">
        <f t="shared" si="1"/>
        <v>114387.63721666667</v>
      </c>
      <c r="F62" s="34">
        <f t="shared" si="2"/>
        <v>-26688696.706800044</v>
      </c>
      <c r="G62" s="46"/>
    </row>
    <row r="63" spans="1:7" ht="15" customHeight="1" x14ac:dyDescent="0.2">
      <c r="A63" s="31">
        <v>25</v>
      </c>
      <c r="B63" s="41" t="s">
        <v>98</v>
      </c>
      <c r="C63" s="27">
        <f t="shared" si="0"/>
        <v>114387.63721666667</v>
      </c>
      <c r="D63" s="27">
        <f t="shared" si="0"/>
        <v>114387.63721666667</v>
      </c>
      <c r="E63" s="27">
        <f t="shared" si="1"/>
        <v>114387.63721666667</v>
      </c>
      <c r="F63" s="27">
        <f t="shared" si="2"/>
        <v>-26574309.069583379</v>
      </c>
      <c r="G63" s="42"/>
    </row>
    <row r="64" spans="1:7" ht="15" customHeight="1" x14ac:dyDescent="0.2">
      <c r="A64" s="33">
        <v>26</v>
      </c>
      <c r="B64" s="43" t="s">
        <v>98</v>
      </c>
      <c r="C64" s="34">
        <f t="shared" si="0"/>
        <v>114387.63721666667</v>
      </c>
      <c r="D64" s="27">
        <f t="shared" si="0"/>
        <v>114387.63721666667</v>
      </c>
      <c r="E64" s="34">
        <f t="shared" si="1"/>
        <v>114387.63721666667</v>
      </c>
      <c r="F64" s="34">
        <f t="shared" si="2"/>
        <v>-26459921.432366714</v>
      </c>
      <c r="G64" s="46"/>
    </row>
    <row r="65" spans="1:7" ht="15" customHeight="1" x14ac:dyDescent="0.2">
      <c r="A65" s="31">
        <v>27</v>
      </c>
      <c r="B65" s="41" t="s">
        <v>98</v>
      </c>
      <c r="C65" s="27">
        <f t="shared" si="0"/>
        <v>114387.63721666667</v>
      </c>
      <c r="D65" s="27">
        <f t="shared" si="0"/>
        <v>114387.63721666667</v>
      </c>
      <c r="E65" s="27">
        <f t="shared" si="1"/>
        <v>114387.63721666667</v>
      </c>
      <c r="F65" s="27">
        <f t="shared" si="2"/>
        <v>-26345533.795150049</v>
      </c>
      <c r="G65" s="42"/>
    </row>
    <row r="66" spans="1:7" ht="15" customHeight="1" x14ac:dyDescent="0.2">
      <c r="A66" s="33">
        <v>28</v>
      </c>
      <c r="B66" s="43" t="s">
        <v>98</v>
      </c>
      <c r="C66" s="34">
        <f t="shared" si="0"/>
        <v>114387.63721666667</v>
      </c>
      <c r="D66" s="27">
        <f t="shared" si="0"/>
        <v>114387.63721666667</v>
      </c>
      <c r="E66" s="34">
        <f t="shared" si="1"/>
        <v>114387.63721666667</v>
      </c>
      <c r="F66" s="34">
        <f t="shared" si="2"/>
        <v>-26231146.157933384</v>
      </c>
      <c r="G66" s="46"/>
    </row>
    <row r="67" spans="1:7" ht="15" customHeight="1" x14ac:dyDescent="0.2">
      <c r="A67" s="31">
        <v>29</v>
      </c>
      <c r="B67" s="41" t="s">
        <v>98</v>
      </c>
      <c r="C67" s="27">
        <f t="shared" si="0"/>
        <v>114387.63721666667</v>
      </c>
      <c r="D67" s="27">
        <f t="shared" si="0"/>
        <v>114387.63721666667</v>
      </c>
      <c r="E67" s="27">
        <f t="shared" si="1"/>
        <v>114387.63721666667</v>
      </c>
      <c r="F67" s="27">
        <f>F66+E67</f>
        <v>-26116758.520716719</v>
      </c>
      <c r="G67" s="42"/>
    </row>
    <row r="68" spans="1:7" ht="39" customHeight="1" x14ac:dyDescent="0.2">
      <c r="A68" s="31">
        <v>30</v>
      </c>
      <c r="B68" s="41" t="s">
        <v>99</v>
      </c>
      <c r="C68" s="27">
        <f t="shared" ref="C68:C97" si="3">$F$30</f>
        <v>114387.63721666667</v>
      </c>
      <c r="D68" s="57">
        <f>$F$30+$F$32</f>
        <v>15504194.073156105</v>
      </c>
      <c r="E68" s="27">
        <f t="shared" si="1"/>
        <v>2422858.6026075827</v>
      </c>
      <c r="F68" s="27">
        <f t="shared" si="2"/>
        <v>-23693899.918109138</v>
      </c>
      <c r="G68" s="42" t="s">
        <v>100</v>
      </c>
    </row>
    <row r="69" spans="1:7" ht="39" customHeight="1" x14ac:dyDescent="0.2">
      <c r="A69" s="31">
        <v>31</v>
      </c>
      <c r="B69" s="41" t="s">
        <v>101</v>
      </c>
      <c r="C69" s="27">
        <f>$F$30</f>
        <v>114387.63721666667</v>
      </c>
      <c r="D69" s="58">
        <v>0</v>
      </c>
      <c r="E69" s="27">
        <f t="shared" si="1"/>
        <v>97229.491634166669</v>
      </c>
      <c r="F69" s="27">
        <f t="shared" si="2"/>
        <v>-23596670.42647497</v>
      </c>
      <c r="G69" s="42" t="s">
        <v>102</v>
      </c>
    </row>
    <row r="70" spans="1:7" ht="39" customHeight="1" x14ac:dyDescent="0.2">
      <c r="A70" s="33">
        <v>32</v>
      </c>
      <c r="B70" s="43" t="s">
        <v>101</v>
      </c>
      <c r="C70" s="34">
        <f t="shared" si="3"/>
        <v>114387.63721666667</v>
      </c>
      <c r="D70" s="58">
        <v>0</v>
      </c>
      <c r="E70" s="34">
        <f t="shared" si="1"/>
        <v>97229.491634166669</v>
      </c>
      <c r="F70" s="34">
        <f t="shared" si="2"/>
        <v>-23499440.934840802</v>
      </c>
      <c r="G70" s="46"/>
    </row>
    <row r="71" spans="1:7" ht="39" customHeight="1" x14ac:dyDescent="0.2">
      <c r="A71" s="31">
        <v>33</v>
      </c>
      <c r="B71" s="41" t="s">
        <v>101</v>
      </c>
      <c r="C71" s="27">
        <f t="shared" si="3"/>
        <v>114387.63721666667</v>
      </c>
      <c r="D71" s="58">
        <v>0</v>
      </c>
      <c r="E71" s="27">
        <f t="shared" ref="E71:E98" si="4">0.85*C71+0.15*D71</f>
        <v>97229.491634166669</v>
      </c>
      <c r="F71" s="27">
        <f t="shared" ref="F71:F98" si="5">F70+E71</f>
        <v>-23402211.443206634</v>
      </c>
      <c r="G71" s="42"/>
    </row>
    <row r="72" spans="1:7" ht="39" customHeight="1" x14ac:dyDescent="0.2">
      <c r="A72" s="33">
        <v>34</v>
      </c>
      <c r="B72" s="43" t="s">
        <v>101</v>
      </c>
      <c r="C72" s="34">
        <f t="shared" si="3"/>
        <v>114387.63721666667</v>
      </c>
      <c r="D72" s="58">
        <v>0</v>
      </c>
      <c r="E72" s="34">
        <f t="shared" si="4"/>
        <v>97229.491634166669</v>
      </c>
      <c r="F72" s="34">
        <f t="shared" si="5"/>
        <v>-23304981.951572467</v>
      </c>
      <c r="G72" s="46"/>
    </row>
    <row r="73" spans="1:7" ht="39" customHeight="1" x14ac:dyDescent="0.2">
      <c r="A73" s="31">
        <v>35</v>
      </c>
      <c r="B73" s="41" t="s">
        <v>101</v>
      </c>
      <c r="C73" s="27">
        <f t="shared" si="3"/>
        <v>114387.63721666667</v>
      </c>
      <c r="D73" s="58">
        <v>0</v>
      </c>
      <c r="E73" s="27">
        <f t="shared" si="4"/>
        <v>97229.491634166669</v>
      </c>
      <c r="F73" s="27">
        <f>F72+E73</f>
        <v>-23207752.459938299</v>
      </c>
      <c r="G73" s="42"/>
    </row>
    <row r="74" spans="1:7" ht="39" customHeight="1" x14ac:dyDescent="0.2">
      <c r="A74" s="33">
        <v>36</v>
      </c>
      <c r="B74" s="43" t="s">
        <v>101</v>
      </c>
      <c r="C74" s="34">
        <f t="shared" si="3"/>
        <v>114387.63721666667</v>
      </c>
      <c r="D74" s="58">
        <v>0</v>
      </c>
      <c r="E74" s="34">
        <f>0.85*C74+0.15*D74</f>
        <v>97229.491634166669</v>
      </c>
      <c r="F74" s="34">
        <f t="shared" si="5"/>
        <v>-23110522.968304131</v>
      </c>
      <c r="G74" s="46"/>
    </row>
    <row r="75" spans="1:7" ht="39" customHeight="1" x14ac:dyDescent="0.2">
      <c r="A75" s="31">
        <v>37</v>
      </c>
      <c r="B75" s="41" t="s">
        <v>101</v>
      </c>
      <c r="C75" s="27">
        <f t="shared" si="3"/>
        <v>114387.63721666667</v>
      </c>
      <c r="D75" s="58">
        <v>0</v>
      </c>
      <c r="E75" s="27">
        <f t="shared" si="4"/>
        <v>97229.491634166669</v>
      </c>
      <c r="F75" s="27">
        <f t="shared" si="5"/>
        <v>-23013293.476669963</v>
      </c>
      <c r="G75" s="42"/>
    </row>
    <row r="76" spans="1:7" ht="39" customHeight="1" x14ac:dyDescent="0.2">
      <c r="A76" s="33">
        <v>38</v>
      </c>
      <c r="B76" s="43" t="s">
        <v>101</v>
      </c>
      <c r="C76" s="34">
        <f t="shared" si="3"/>
        <v>114387.63721666667</v>
      </c>
      <c r="D76" s="58">
        <v>0</v>
      </c>
      <c r="E76" s="34">
        <f t="shared" si="4"/>
        <v>97229.491634166669</v>
      </c>
      <c r="F76" s="34">
        <f t="shared" si="5"/>
        <v>-22916063.985035796</v>
      </c>
      <c r="G76" s="46"/>
    </row>
    <row r="77" spans="1:7" ht="39" customHeight="1" x14ac:dyDescent="0.2">
      <c r="A77" s="31">
        <v>39</v>
      </c>
      <c r="B77" s="41" t="s">
        <v>101</v>
      </c>
      <c r="C77" s="27">
        <f t="shared" si="3"/>
        <v>114387.63721666667</v>
      </c>
      <c r="D77" s="58">
        <v>0</v>
      </c>
      <c r="E77" s="27">
        <f t="shared" si="4"/>
        <v>97229.491634166669</v>
      </c>
      <c r="F77" s="27">
        <f t="shared" si="5"/>
        <v>-22818834.493401628</v>
      </c>
      <c r="G77" s="42"/>
    </row>
    <row r="78" spans="1:7" ht="39" customHeight="1" x14ac:dyDescent="0.2">
      <c r="A78" s="33">
        <v>40</v>
      </c>
      <c r="B78" s="43" t="s">
        <v>101</v>
      </c>
      <c r="C78" s="34">
        <f t="shared" si="3"/>
        <v>114387.63721666667</v>
      </c>
      <c r="D78" s="58">
        <v>0</v>
      </c>
      <c r="E78" s="34">
        <f t="shared" si="4"/>
        <v>97229.491634166669</v>
      </c>
      <c r="F78" s="34">
        <f t="shared" si="5"/>
        <v>-22721605.00176746</v>
      </c>
      <c r="G78" s="46"/>
    </row>
    <row r="79" spans="1:7" ht="39" customHeight="1" x14ac:dyDescent="0.2">
      <c r="A79" s="31">
        <v>41</v>
      </c>
      <c r="B79" s="41" t="s">
        <v>101</v>
      </c>
      <c r="C79" s="27">
        <f t="shared" si="3"/>
        <v>114387.63721666667</v>
      </c>
      <c r="D79" s="58">
        <v>0</v>
      </c>
      <c r="E79" s="27">
        <f t="shared" si="4"/>
        <v>97229.491634166669</v>
      </c>
      <c r="F79" s="27">
        <f t="shared" si="5"/>
        <v>-22624375.510133293</v>
      </c>
      <c r="G79" s="42"/>
    </row>
    <row r="80" spans="1:7" ht="39" customHeight="1" x14ac:dyDescent="0.2">
      <c r="A80" s="33">
        <v>42</v>
      </c>
      <c r="B80" s="43" t="s">
        <v>101</v>
      </c>
      <c r="C80" s="34">
        <f t="shared" si="3"/>
        <v>114387.63721666667</v>
      </c>
      <c r="D80" s="58">
        <v>0</v>
      </c>
      <c r="E80" s="34">
        <f t="shared" si="4"/>
        <v>97229.491634166669</v>
      </c>
      <c r="F80" s="34">
        <f t="shared" si="5"/>
        <v>-22527146.018499125</v>
      </c>
      <c r="G80" s="46"/>
    </row>
    <row r="81" spans="1:7" ht="39" customHeight="1" x14ac:dyDescent="0.2">
      <c r="A81" s="31">
        <v>43</v>
      </c>
      <c r="B81" s="41" t="s">
        <v>101</v>
      </c>
      <c r="C81" s="27">
        <f t="shared" si="3"/>
        <v>114387.63721666667</v>
      </c>
      <c r="D81" s="58">
        <v>0</v>
      </c>
      <c r="E81" s="27">
        <f t="shared" si="4"/>
        <v>97229.491634166669</v>
      </c>
      <c r="F81" s="27">
        <f t="shared" si="5"/>
        <v>-22429916.526864957</v>
      </c>
      <c r="G81" s="42"/>
    </row>
    <row r="82" spans="1:7" ht="39" customHeight="1" x14ac:dyDescent="0.2">
      <c r="A82" s="33">
        <v>44</v>
      </c>
      <c r="B82" s="43" t="s">
        <v>101</v>
      </c>
      <c r="C82" s="34">
        <f t="shared" si="3"/>
        <v>114387.63721666667</v>
      </c>
      <c r="D82" s="58">
        <v>0</v>
      </c>
      <c r="E82" s="34">
        <f t="shared" si="4"/>
        <v>97229.491634166669</v>
      </c>
      <c r="F82" s="34">
        <f t="shared" si="5"/>
        <v>-22332687.035230789</v>
      </c>
      <c r="G82" s="46"/>
    </row>
    <row r="83" spans="1:7" ht="39" customHeight="1" x14ac:dyDescent="0.2">
      <c r="A83" s="31">
        <v>45</v>
      </c>
      <c r="B83" s="41" t="s">
        <v>101</v>
      </c>
      <c r="C83" s="27">
        <f t="shared" si="3"/>
        <v>114387.63721666667</v>
      </c>
      <c r="D83" s="58">
        <v>0</v>
      </c>
      <c r="E83" s="27">
        <f t="shared" si="4"/>
        <v>97229.491634166669</v>
      </c>
      <c r="F83" s="27">
        <f t="shared" si="5"/>
        <v>-22235457.543596622</v>
      </c>
      <c r="G83" s="42"/>
    </row>
    <row r="84" spans="1:7" ht="39" customHeight="1" x14ac:dyDescent="0.2">
      <c r="A84" s="33">
        <v>46</v>
      </c>
      <c r="B84" s="43" t="s">
        <v>101</v>
      </c>
      <c r="C84" s="34">
        <f t="shared" si="3"/>
        <v>114387.63721666667</v>
      </c>
      <c r="D84" s="58">
        <v>0</v>
      </c>
      <c r="E84" s="34">
        <f t="shared" si="4"/>
        <v>97229.491634166669</v>
      </c>
      <c r="F84" s="34">
        <f t="shared" si="5"/>
        <v>-22138228.051962454</v>
      </c>
      <c r="G84" s="46"/>
    </row>
    <row r="85" spans="1:7" ht="39" customHeight="1" x14ac:dyDescent="0.2">
      <c r="A85" s="31">
        <v>47</v>
      </c>
      <c r="B85" s="41" t="s">
        <v>101</v>
      </c>
      <c r="C85" s="27">
        <f t="shared" si="3"/>
        <v>114387.63721666667</v>
      </c>
      <c r="D85" s="58">
        <v>0</v>
      </c>
      <c r="E85" s="27">
        <f t="shared" si="4"/>
        <v>97229.491634166669</v>
      </c>
      <c r="F85" s="27">
        <f t="shared" si="5"/>
        <v>-22040998.560328286</v>
      </c>
      <c r="G85" s="42"/>
    </row>
    <row r="86" spans="1:7" ht="39" customHeight="1" x14ac:dyDescent="0.2">
      <c r="A86" s="33">
        <v>48</v>
      </c>
      <c r="B86" s="43" t="s">
        <v>101</v>
      </c>
      <c r="C86" s="34">
        <f t="shared" si="3"/>
        <v>114387.63721666667</v>
      </c>
      <c r="D86" s="58">
        <v>0</v>
      </c>
      <c r="E86" s="34">
        <f t="shared" si="4"/>
        <v>97229.491634166669</v>
      </c>
      <c r="F86" s="34">
        <f t="shared" si="5"/>
        <v>-21943769.068694118</v>
      </c>
      <c r="G86" s="46"/>
    </row>
    <row r="87" spans="1:7" ht="39" customHeight="1" x14ac:dyDescent="0.2">
      <c r="A87" s="31">
        <v>49</v>
      </c>
      <c r="B87" s="41" t="s">
        <v>101</v>
      </c>
      <c r="C87" s="27">
        <f t="shared" si="3"/>
        <v>114387.63721666667</v>
      </c>
      <c r="D87" s="58">
        <v>0</v>
      </c>
      <c r="E87" s="27">
        <f t="shared" si="4"/>
        <v>97229.491634166669</v>
      </c>
      <c r="F87" s="27">
        <f t="shared" si="5"/>
        <v>-21846539.577059951</v>
      </c>
      <c r="G87" s="42"/>
    </row>
    <row r="88" spans="1:7" ht="39" customHeight="1" x14ac:dyDescent="0.2">
      <c r="A88" s="33">
        <v>50</v>
      </c>
      <c r="B88" s="43" t="s">
        <v>101</v>
      </c>
      <c r="C88" s="34">
        <f t="shared" si="3"/>
        <v>114387.63721666667</v>
      </c>
      <c r="D88" s="58">
        <v>0</v>
      </c>
      <c r="E88" s="34">
        <f t="shared" si="4"/>
        <v>97229.491634166669</v>
      </c>
      <c r="F88" s="34">
        <f t="shared" si="5"/>
        <v>-21749310.085425783</v>
      </c>
      <c r="G88" s="46"/>
    </row>
    <row r="89" spans="1:7" ht="39" customHeight="1" x14ac:dyDescent="0.2">
      <c r="A89" s="31">
        <v>51</v>
      </c>
      <c r="B89" s="41" t="s">
        <v>101</v>
      </c>
      <c r="C89" s="27">
        <f t="shared" si="3"/>
        <v>114387.63721666667</v>
      </c>
      <c r="D89" s="58">
        <v>0</v>
      </c>
      <c r="E89" s="27">
        <f t="shared" si="4"/>
        <v>97229.491634166669</v>
      </c>
      <c r="F89" s="27">
        <f t="shared" si="5"/>
        <v>-21652080.593791615</v>
      </c>
      <c r="G89" s="42"/>
    </row>
    <row r="90" spans="1:7" ht="39" customHeight="1" x14ac:dyDescent="0.2">
      <c r="A90" s="33">
        <v>52</v>
      </c>
      <c r="B90" s="43" t="s">
        <v>101</v>
      </c>
      <c r="C90" s="34">
        <f t="shared" si="3"/>
        <v>114387.63721666667</v>
      </c>
      <c r="D90" s="58">
        <v>0</v>
      </c>
      <c r="E90" s="34">
        <f t="shared" si="4"/>
        <v>97229.491634166669</v>
      </c>
      <c r="F90" s="34">
        <f t="shared" si="5"/>
        <v>-21554851.102157447</v>
      </c>
      <c r="G90" s="46"/>
    </row>
    <row r="91" spans="1:7" ht="39" customHeight="1" x14ac:dyDescent="0.2">
      <c r="A91" s="31">
        <v>53</v>
      </c>
      <c r="B91" s="41" t="s">
        <v>101</v>
      </c>
      <c r="C91" s="27">
        <f t="shared" si="3"/>
        <v>114387.63721666667</v>
      </c>
      <c r="D91" s="58">
        <v>0</v>
      </c>
      <c r="E91" s="27">
        <f t="shared" si="4"/>
        <v>97229.491634166669</v>
      </c>
      <c r="F91" s="27">
        <f t="shared" si="5"/>
        <v>-21457621.61052328</v>
      </c>
      <c r="G91" s="42"/>
    </row>
    <row r="92" spans="1:7" ht="39" customHeight="1" x14ac:dyDescent="0.2">
      <c r="A92" s="33">
        <v>54</v>
      </c>
      <c r="B92" s="43" t="s">
        <v>101</v>
      </c>
      <c r="C92" s="34">
        <f t="shared" si="3"/>
        <v>114387.63721666667</v>
      </c>
      <c r="D92" s="58">
        <v>0</v>
      </c>
      <c r="E92" s="34">
        <f t="shared" si="4"/>
        <v>97229.491634166669</v>
      </c>
      <c r="F92" s="34">
        <f t="shared" si="5"/>
        <v>-21360392.118889112</v>
      </c>
      <c r="G92" s="46"/>
    </row>
    <row r="93" spans="1:7" ht="39" customHeight="1" x14ac:dyDescent="0.2">
      <c r="A93" s="31">
        <v>55</v>
      </c>
      <c r="B93" s="41" t="s">
        <v>101</v>
      </c>
      <c r="C93" s="27">
        <f t="shared" si="3"/>
        <v>114387.63721666667</v>
      </c>
      <c r="D93" s="58">
        <v>0</v>
      </c>
      <c r="E93" s="27">
        <f t="shared" si="4"/>
        <v>97229.491634166669</v>
      </c>
      <c r="F93" s="27">
        <f t="shared" si="5"/>
        <v>-21263162.627254944</v>
      </c>
      <c r="G93" s="42"/>
    </row>
    <row r="94" spans="1:7" ht="39" customHeight="1" x14ac:dyDescent="0.2">
      <c r="A94" s="33">
        <v>56</v>
      </c>
      <c r="B94" s="43" t="s">
        <v>101</v>
      </c>
      <c r="C94" s="34">
        <f t="shared" si="3"/>
        <v>114387.63721666667</v>
      </c>
      <c r="D94" s="58">
        <v>0</v>
      </c>
      <c r="E94" s="34">
        <f t="shared" si="4"/>
        <v>97229.491634166669</v>
      </c>
      <c r="F94" s="34">
        <f t="shared" si="5"/>
        <v>-21165933.135620777</v>
      </c>
      <c r="G94" s="46"/>
    </row>
    <row r="95" spans="1:7" ht="39" customHeight="1" x14ac:dyDescent="0.2">
      <c r="A95" s="31">
        <v>57</v>
      </c>
      <c r="B95" s="41" t="s">
        <v>101</v>
      </c>
      <c r="C95" s="27">
        <f t="shared" si="3"/>
        <v>114387.63721666667</v>
      </c>
      <c r="D95" s="58">
        <v>0</v>
      </c>
      <c r="E95" s="27">
        <f t="shared" si="4"/>
        <v>97229.491634166669</v>
      </c>
      <c r="F95" s="27">
        <f t="shared" si="5"/>
        <v>-21068703.643986609</v>
      </c>
      <c r="G95" s="42"/>
    </row>
    <row r="96" spans="1:7" ht="39" customHeight="1" x14ac:dyDescent="0.2">
      <c r="A96" s="33">
        <v>58</v>
      </c>
      <c r="B96" s="43" t="s">
        <v>101</v>
      </c>
      <c r="C96" s="34">
        <f t="shared" si="3"/>
        <v>114387.63721666667</v>
      </c>
      <c r="D96" s="58">
        <v>0</v>
      </c>
      <c r="E96" s="34">
        <f t="shared" si="4"/>
        <v>97229.491634166669</v>
      </c>
      <c r="F96" s="34">
        <f t="shared" si="5"/>
        <v>-20971474.152352441</v>
      </c>
      <c r="G96" s="46"/>
    </row>
    <row r="97" spans="1:7" ht="39" customHeight="1" x14ac:dyDescent="0.2">
      <c r="A97" s="31">
        <v>59</v>
      </c>
      <c r="B97" s="41" t="s">
        <v>101</v>
      </c>
      <c r="C97" s="27">
        <f t="shared" si="3"/>
        <v>114387.63721666667</v>
      </c>
      <c r="D97" s="58">
        <v>0</v>
      </c>
      <c r="E97" s="27">
        <f t="shared" si="4"/>
        <v>97229.491634166669</v>
      </c>
      <c r="F97" s="27">
        <f t="shared" si="5"/>
        <v>-20874244.660718273</v>
      </c>
      <c r="G97" s="42"/>
    </row>
    <row r="98" spans="1:7" ht="39" customHeight="1" x14ac:dyDescent="0.2">
      <c r="A98" s="31">
        <v>60</v>
      </c>
      <c r="B98" s="41" t="s">
        <v>103</v>
      </c>
      <c r="C98" s="27">
        <f>$F$30+$F$24</f>
        <v>29548387.637216665</v>
      </c>
      <c r="D98" s="58">
        <v>0</v>
      </c>
      <c r="E98" s="27">
        <f t="shared" si="4"/>
        <v>25116129.491634164</v>
      </c>
      <c r="F98" s="27">
        <f t="shared" si="5"/>
        <v>4241884.8309158906</v>
      </c>
      <c r="G98" s="42" t="s">
        <v>104</v>
      </c>
    </row>
    <row r="100" spans="1:7" ht="15" customHeight="1" x14ac:dyDescent="0.2">
      <c r="A100" s="12" t="s">
        <v>32</v>
      </c>
      <c r="B100" s="12"/>
      <c r="C100" s="12"/>
      <c r="D100" s="12"/>
      <c r="E100" s="12"/>
    </row>
    <row r="101" spans="1:7" ht="26.25" customHeight="1" x14ac:dyDescent="0.2">
      <c r="A101" s="41" t="s">
        <v>105</v>
      </c>
      <c r="B101" s="38">
        <f>IFERROR((1+IRR(E38:E98,0.002))^12-1,"err")</f>
        <v>3.1654468476506326E-2</v>
      </c>
    </row>
    <row r="102" spans="1:7" ht="26.25" customHeight="1" x14ac:dyDescent="0.2">
      <c r="A102" s="41" t="s">
        <v>106</v>
      </c>
      <c r="B102" s="36">
        <f>IFERROR((1+IRR(C38:C98,0.003))^12-1,"err")</f>
        <v>4.7644715868689236E-2</v>
      </c>
    </row>
    <row r="103" spans="1:7" ht="26.25" customHeight="1" x14ac:dyDescent="0.2">
      <c r="A103" s="41" t="s">
        <v>107</v>
      </c>
      <c r="B103" s="39">
        <v>7.1199999999999999E-2</v>
      </c>
      <c r="C103" s="7"/>
      <c r="D103" s="7"/>
      <c r="E103" s="7"/>
    </row>
    <row r="105" spans="1:7" ht="30" customHeight="1" x14ac:dyDescent="0.2">
      <c r="A105" s="8" t="s">
        <v>108</v>
      </c>
      <c r="B105" s="8"/>
      <c r="C105" s="8"/>
      <c r="D105" s="8"/>
      <c r="E105" s="8"/>
    </row>
  </sheetData>
  <mergeCells count="44">
    <mergeCell ref="A105:E105"/>
    <mergeCell ref="A36:G36"/>
    <mergeCell ref="A100:E100"/>
    <mergeCell ref="C103:E103"/>
    <mergeCell ref="D31:E31"/>
    <mergeCell ref="F31:G31"/>
    <mergeCell ref="D32:E32"/>
    <mergeCell ref="F32:G32"/>
    <mergeCell ref="D33:E33"/>
    <mergeCell ref="F33:G33"/>
    <mergeCell ref="D28:E28"/>
    <mergeCell ref="F28:G28"/>
    <mergeCell ref="D29:E29"/>
    <mergeCell ref="F29:G29"/>
    <mergeCell ref="D30:E30"/>
    <mergeCell ref="F30:G30"/>
    <mergeCell ref="D25:E25"/>
    <mergeCell ref="F25:G25"/>
    <mergeCell ref="D26:E26"/>
    <mergeCell ref="F26:G26"/>
    <mergeCell ref="D27:E27"/>
    <mergeCell ref="F27:G27"/>
    <mergeCell ref="D22:E22"/>
    <mergeCell ref="F22:G22"/>
    <mergeCell ref="D23:E23"/>
    <mergeCell ref="F23:G23"/>
    <mergeCell ref="D24:E24"/>
    <mergeCell ref="F24:G24"/>
    <mergeCell ref="F13:G13"/>
    <mergeCell ref="F14:G14"/>
    <mergeCell ref="F15:G15"/>
    <mergeCell ref="A21:C21"/>
    <mergeCell ref="D21:G21"/>
    <mergeCell ref="F8:G8"/>
    <mergeCell ref="F9:G9"/>
    <mergeCell ref="F10:G10"/>
    <mergeCell ref="F11:G11"/>
    <mergeCell ref="F12:G12"/>
    <mergeCell ref="A1:G1"/>
    <mergeCell ref="A3:G3"/>
    <mergeCell ref="A4:G4"/>
    <mergeCell ref="A5:G5"/>
    <mergeCell ref="A7:C7"/>
    <mergeCell ref="D7:G7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8"/>
  <sheetViews>
    <sheetView tabSelected="1" topLeftCell="A87" zoomScale="156" zoomScaleNormal="100" workbookViewId="0">
      <selection activeCell="A12" sqref="A12:G12"/>
    </sheetView>
  </sheetViews>
  <sheetFormatPr baseColWidth="10" defaultColWidth="8.6640625" defaultRowHeight="15" x14ac:dyDescent="0.2"/>
  <cols>
    <col min="1" max="1" width="34" customWidth="1"/>
    <col min="2" max="2" width="20" customWidth="1"/>
    <col min="3" max="6" width="22" customWidth="1"/>
    <col min="7" max="7" width="24" customWidth="1"/>
  </cols>
  <sheetData>
    <row r="1" spans="1:7" ht="21.75" customHeight="1" x14ac:dyDescent="0.2">
      <c r="A1" s="9" t="s">
        <v>109</v>
      </c>
      <c r="B1" s="9"/>
      <c r="C1" s="9"/>
      <c r="D1" s="9"/>
      <c r="E1" s="9"/>
      <c r="F1" s="9"/>
      <c r="G1" s="9"/>
    </row>
    <row r="3" spans="1:7" x14ac:dyDescent="0.2">
      <c r="A3" s="13" t="s">
        <v>110</v>
      </c>
      <c r="B3" s="13"/>
      <c r="C3" s="13"/>
      <c r="D3" s="13"/>
      <c r="E3" s="84" t="s">
        <v>111</v>
      </c>
      <c r="F3" s="84"/>
      <c r="G3" s="84"/>
    </row>
    <row r="4" spans="1:7" ht="15" customHeight="1" x14ac:dyDescent="0.2">
      <c r="A4" s="41" t="s">
        <v>112</v>
      </c>
      <c r="B4" s="39">
        <v>6.4000000000000001E-2</v>
      </c>
      <c r="E4" s="8" t="s">
        <v>113</v>
      </c>
      <c r="F4" s="8"/>
      <c r="G4" s="8"/>
    </row>
    <row r="5" spans="1:7" ht="22.25" customHeight="1" x14ac:dyDescent="0.2">
      <c r="A5" s="43" t="s">
        <v>114</v>
      </c>
      <c r="B5" s="20">
        <v>5.0000000000000001E-3</v>
      </c>
      <c r="E5" s="8" t="s">
        <v>115</v>
      </c>
      <c r="F5" s="8"/>
      <c r="G5" s="8"/>
    </row>
    <row r="6" spans="1:7" ht="15" customHeight="1" x14ac:dyDescent="0.2">
      <c r="A6" s="41" t="s">
        <v>116</v>
      </c>
      <c r="B6" s="39">
        <v>7.4999999999999997E-3</v>
      </c>
      <c r="E6" s="8" t="s">
        <v>117</v>
      </c>
      <c r="F6" s="8"/>
      <c r="G6" s="8"/>
    </row>
    <row r="7" spans="1:7" ht="15" customHeight="1" x14ac:dyDescent="0.2">
      <c r="A7" s="59" t="s">
        <v>118</v>
      </c>
      <c r="B7" s="60">
        <f>B4+B5+B6</f>
        <v>7.6500000000000012E-2</v>
      </c>
      <c r="E7" s="8" t="s">
        <v>119</v>
      </c>
      <c r="F7" s="8"/>
      <c r="G7" s="8"/>
    </row>
    <row r="9" spans="1:7" ht="26.75" customHeight="1" x14ac:dyDescent="0.2">
      <c r="A9" s="41" t="s">
        <v>107</v>
      </c>
      <c r="B9" s="61">
        <f>'Q1 Direct Lending'!B88</f>
        <v>7.1240310449847466E-2</v>
      </c>
      <c r="E9" s="8" t="s">
        <v>120</v>
      </c>
      <c r="F9" s="8"/>
      <c r="G9" s="8"/>
    </row>
    <row r="10" spans="1:7" ht="15" customHeight="1" x14ac:dyDescent="0.2">
      <c r="A10" s="51" t="s">
        <v>121</v>
      </c>
      <c r="B10" s="62">
        <f>MAX(B7,B9)</f>
        <v>7.6500000000000012E-2</v>
      </c>
      <c r="E10" s="8" t="s">
        <v>122</v>
      </c>
      <c r="F10" s="8"/>
      <c r="G10" s="8"/>
    </row>
    <row r="12" spans="1:7" ht="36" customHeight="1" x14ac:dyDescent="0.2">
      <c r="A12" s="8" t="s">
        <v>123</v>
      </c>
      <c r="B12" s="8"/>
      <c r="C12" s="8"/>
      <c r="D12" s="8"/>
      <c r="E12" s="8"/>
      <c r="F12" s="8"/>
      <c r="G12" s="8"/>
    </row>
    <row r="14" spans="1:7" x14ac:dyDescent="0.2">
      <c r="A14" s="12" t="s">
        <v>124</v>
      </c>
      <c r="B14" s="12"/>
      <c r="C14" s="12"/>
      <c r="D14" s="12"/>
    </row>
    <row r="16" spans="1:7" x14ac:dyDescent="0.2">
      <c r="A16" s="41" t="s">
        <v>72</v>
      </c>
      <c r="B16" s="63">
        <f>'Q2 Scenario &amp; D-Bond'!F24</f>
        <v>29434000</v>
      </c>
    </row>
    <row r="17" spans="1:7" x14ac:dyDescent="0.2">
      <c r="A17" s="41" t="s">
        <v>125</v>
      </c>
      <c r="B17" s="36">
        <f>B10</f>
        <v>7.6500000000000012E-2</v>
      </c>
    </row>
    <row r="18" spans="1:7" x14ac:dyDescent="0.2">
      <c r="A18" s="41" t="s">
        <v>126</v>
      </c>
      <c r="B18" s="64">
        <f>(1+B17)^(1/12)-1</f>
        <v>6.1618262441982541E-3</v>
      </c>
    </row>
    <row r="19" spans="1:7" ht="30" x14ac:dyDescent="0.2">
      <c r="A19" s="51" t="s">
        <v>127</v>
      </c>
      <c r="B19" s="65">
        <f ca="1">SUMPRODUCT('Q2 Scenario &amp; D-Bond'!E39:E98,1/(1+B18)^ROW(INDIRECT("1:60")))</f>
        <v>24559121.086984023</v>
      </c>
    </row>
    <row r="20" spans="1:7" x14ac:dyDescent="0.2">
      <c r="A20" s="51" t="s">
        <v>128</v>
      </c>
      <c r="B20" s="55">
        <f ca="1">B19</f>
        <v>24559121.086984023</v>
      </c>
    </row>
    <row r="21" spans="1:7" x14ac:dyDescent="0.2">
      <c r="A21" s="51" t="s">
        <v>129</v>
      </c>
      <c r="B21" s="38">
        <f ca="1">B20/B16</f>
        <v>0.8343793261868595</v>
      </c>
    </row>
    <row r="22" spans="1:7" x14ac:dyDescent="0.2">
      <c r="A22" s="41" t="s">
        <v>130</v>
      </c>
      <c r="B22" s="36">
        <f ca="1">1-B21</f>
        <v>0.1656206738131405</v>
      </c>
    </row>
    <row r="24" spans="1:7" x14ac:dyDescent="0.2">
      <c r="A24" s="13" t="s">
        <v>131</v>
      </c>
      <c r="B24" s="13"/>
      <c r="C24" s="13"/>
      <c r="D24" s="13"/>
    </row>
    <row r="25" spans="1:7" x14ac:dyDescent="0.2">
      <c r="A25" s="41" t="s">
        <v>132</v>
      </c>
      <c r="B25" s="17">
        <v>5800000</v>
      </c>
    </row>
    <row r="26" spans="1:7" ht="30" x14ac:dyDescent="0.2">
      <c r="A26" s="51" t="s">
        <v>133</v>
      </c>
      <c r="B26" s="55">
        <f ca="1">B25/B21</f>
        <v>6951274.8194591394</v>
      </c>
    </row>
    <row r="27" spans="1:7" x14ac:dyDescent="0.2">
      <c r="A27" s="41" t="s">
        <v>134</v>
      </c>
      <c r="B27" s="28">
        <f>B25</f>
        <v>5800000</v>
      </c>
    </row>
    <row r="28" spans="1:7" x14ac:dyDescent="0.2">
      <c r="A28" s="41" t="s">
        <v>135</v>
      </c>
      <c r="B28" s="28">
        <f ca="1">B26-B27</f>
        <v>1151274.8194591394</v>
      </c>
    </row>
    <row r="30" spans="1:7" ht="36" customHeight="1" x14ac:dyDescent="0.2">
      <c r="A30" s="8" t="s">
        <v>168</v>
      </c>
      <c r="B30" s="8"/>
      <c r="C30" s="8"/>
      <c r="D30" s="8"/>
      <c r="E30" s="8"/>
      <c r="F30" s="8"/>
      <c r="G30" s="8"/>
    </row>
    <row r="32" spans="1:7" x14ac:dyDescent="0.2">
      <c r="A32" s="12" t="s">
        <v>136</v>
      </c>
      <c r="B32" s="12"/>
      <c r="C32" s="12"/>
      <c r="D32" s="12"/>
      <c r="E32" s="12"/>
      <c r="F32" s="12"/>
      <c r="G32" s="12"/>
    </row>
    <row r="33" spans="1:7" ht="27.75" customHeight="1" x14ac:dyDescent="0.2">
      <c r="A33" s="30" t="s">
        <v>23</v>
      </c>
      <c r="B33" s="30" t="s">
        <v>24</v>
      </c>
      <c r="C33" s="30" t="s">
        <v>137</v>
      </c>
      <c r="D33" s="30" t="s">
        <v>138</v>
      </c>
      <c r="E33" s="30" t="s">
        <v>139</v>
      </c>
      <c r="F33" s="30" t="s">
        <v>94</v>
      </c>
      <c r="G33" s="30" t="s">
        <v>95</v>
      </c>
    </row>
    <row r="34" spans="1:7" ht="30" x14ac:dyDescent="0.2">
      <c r="A34" s="31">
        <v>0</v>
      </c>
      <c r="B34" s="41" t="s">
        <v>140</v>
      </c>
      <c r="C34" s="28">
        <f ca="1">-B20</f>
        <v>-24559121.086984023</v>
      </c>
      <c r="D34" s="28">
        <f ca="1">-B20</f>
        <v>-24559121.086984023</v>
      </c>
      <c r="E34" s="28">
        <f ca="1">-B20</f>
        <v>-24559121.086984023</v>
      </c>
      <c r="F34" s="28">
        <f ca="1">-B20</f>
        <v>-24559121.086984023</v>
      </c>
      <c r="G34" s="42" t="s">
        <v>141</v>
      </c>
    </row>
    <row r="35" spans="1:7" x14ac:dyDescent="0.2">
      <c r="A35" s="31">
        <v>1</v>
      </c>
      <c r="B35" s="41" t="s">
        <v>98</v>
      </c>
      <c r="C35" s="66">
        <f>'Q2 Scenario &amp; D-Bond'!C39</f>
        <v>114387.63721666667</v>
      </c>
      <c r="D35" s="66">
        <f>'Q2 Scenario &amp; D-Bond'!D39</f>
        <v>114387.63721666667</v>
      </c>
      <c r="E35" s="27">
        <f t="shared" ref="E35:E66" si="0">0.85*C35+0.15*D35</f>
        <v>114387.63721666667</v>
      </c>
      <c r="F35" s="27">
        <f t="shared" ref="F35:F66" ca="1" si="1">F34+E35</f>
        <v>-24444733.449767359</v>
      </c>
      <c r="G35" s="42"/>
    </row>
    <row r="36" spans="1:7" x14ac:dyDescent="0.2">
      <c r="A36" s="33">
        <v>2</v>
      </c>
      <c r="B36" s="43" t="s">
        <v>98</v>
      </c>
      <c r="C36" s="66">
        <f>'Q2 Scenario &amp; D-Bond'!C40</f>
        <v>114387.63721666667</v>
      </c>
      <c r="D36" s="66">
        <f>'Q2 Scenario &amp; D-Bond'!D40</f>
        <v>114387.63721666667</v>
      </c>
      <c r="E36" s="34">
        <f t="shared" si="0"/>
        <v>114387.63721666667</v>
      </c>
      <c r="F36" s="34">
        <f t="shared" ca="1" si="1"/>
        <v>-24330345.812550694</v>
      </c>
      <c r="G36" s="46"/>
    </row>
    <row r="37" spans="1:7" x14ac:dyDescent="0.2">
      <c r="A37" s="31">
        <v>3</v>
      </c>
      <c r="B37" s="41" t="s">
        <v>98</v>
      </c>
      <c r="C37" s="66">
        <f>'Q2 Scenario &amp; D-Bond'!C41</f>
        <v>114387.63721666667</v>
      </c>
      <c r="D37" s="66">
        <f>'Q2 Scenario &amp; D-Bond'!D41</f>
        <v>114387.63721666667</v>
      </c>
      <c r="E37" s="27">
        <f t="shared" si="0"/>
        <v>114387.63721666667</v>
      </c>
      <c r="F37" s="27">
        <f t="shared" ca="1" si="1"/>
        <v>-24215958.175334029</v>
      </c>
      <c r="G37" s="42"/>
    </row>
    <row r="38" spans="1:7" x14ac:dyDescent="0.2">
      <c r="A38" s="33">
        <v>4</v>
      </c>
      <c r="B38" s="43" t="s">
        <v>98</v>
      </c>
      <c r="C38" s="66">
        <f>'Q2 Scenario &amp; D-Bond'!C42</f>
        <v>114387.63721666667</v>
      </c>
      <c r="D38" s="66">
        <f>'Q2 Scenario &amp; D-Bond'!D42</f>
        <v>114387.63721666667</v>
      </c>
      <c r="E38" s="34">
        <f t="shared" si="0"/>
        <v>114387.63721666667</v>
      </c>
      <c r="F38" s="34">
        <f t="shared" ca="1" si="1"/>
        <v>-24101570.538117364</v>
      </c>
      <c r="G38" s="46"/>
    </row>
    <row r="39" spans="1:7" x14ac:dyDescent="0.2">
      <c r="A39" s="31">
        <v>5</v>
      </c>
      <c r="B39" s="41" t="s">
        <v>98</v>
      </c>
      <c r="C39" s="66">
        <f>'Q2 Scenario &amp; D-Bond'!C43</f>
        <v>114387.63721666667</v>
      </c>
      <c r="D39" s="66">
        <f>'Q2 Scenario &amp; D-Bond'!D43</f>
        <v>114387.63721666667</v>
      </c>
      <c r="E39" s="27">
        <f t="shared" si="0"/>
        <v>114387.63721666667</v>
      </c>
      <c r="F39" s="27">
        <f t="shared" ca="1" si="1"/>
        <v>-23987182.900900699</v>
      </c>
      <c r="G39" s="42"/>
    </row>
    <row r="40" spans="1:7" x14ac:dyDescent="0.2">
      <c r="A40" s="33">
        <v>6</v>
      </c>
      <c r="B40" s="43" t="s">
        <v>98</v>
      </c>
      <c r="C40" s="66">
        <f>'Q2 Scenario &amp; D-Bond'!C44</f>
        <v>114387.63721666667</v>
      </c>
      <c r="D40" s="66">
        <f>'Q2 Scenario &amp; D-Bond'!D44</f>
        <v>114387.63721666667</v>
      </c>
      <c r="E40" s="34">
        <f t="shared" si="0"/>
        <v>114387.63721666667</v>
      </c>
      <c r="F40" s="34">
        <f t="shared" ca="1" si="1"/>
        <v>-23872795.263684034</v>
      </c>
      <c r="G40" s="46"/>
    </row>
    <row r="41" spans="1:7" x14ac:dyDescent="0.2">
      <c r="A41" s="31">
        <v>7</v>
      </c>
      <c r="B41" s="41" t="s">
        <v>98</v>
      </c>
      <c r="C41" s="66">
        <f>'Q2 Scenario &amp; D-Bond'!C45</f>
        <v>114387.63721666667</v>
      </c>
      <c r="D41" s="66">
        <f>'Q2 Scenario &amp; D-Bond'!D45</f>
        <v>114387.63721666667</v>
      </c>
      <c r="E41" s="27">
        <f t="shared" si="0"/>
        <v>114387.63721666667</v>
      </c>
      <c r="F41" s="27">
        <f t="shared" ca="1" si="1"/>
        <v>-23758407.626467369</v>
      </c>
      <c r="G41" s="42"/>
    </row>
    <row r="42" spans="1:7" x14ac:dyDescent="0.2">
      <c r="A42" s="33">
        <v>8</v>
      </c>
      <c r="B42" s="43" t="s">
        <v>98</v>
      </c>
      <c r="C42" s="66">
        <f>'Q2 Scenario &amp; D-Bond'!C46</f>
        <v>114387.63721666667</v>
      </c>
      <c r="D42" s="66">
        <f>'Q2 Scenario &amp; D-Bond'!D46</f>
        <v>114387.63721666667</v>
      </c>
      <c r="E42" s="34">
        <f t="shared" si="0"/>
        <v>114387.63721666667</v>
      </c>
      <c r="F42" s="34">
        <f t="shared" ca="1" si="1"/>
        <v>-23644019.989250705</v>
      </c>
      <c r="G42" s="46"/>
    </row>
    <row r="43" spans="1:7" x14ac:dyDescent="0.2">
      <c r="A43" s="31">
        <v>9</v>
      </c>
      <c r="B43" s="41" t="s">
        <v>98</v>
      </c>
      <c r="C43" s="66">
        <f>'Q2 Scenario &amp; D-Bond'!C47</f>
        <v>114387.63721666667</v>
      </c>
      <c r="D43" s="66">
        <f>'Q2 Scenario &amp; D-Bond'!D47</f>
        <v>114387.63721666667</v>
      </c>
      <c r="E43" s="27">
        <f t="shared" si="0"/>
        <v>114387.63721666667</v>
      </c>
      <c r="F43" s="27">
        <f t="shared" ca="1" si="1"/>
        <v>-23529632.35203404</v>
      </c>
      <c r="G43" s="42"/>
    </row>
    <row r="44" spans="1:7" x14ac:dyDescent="0.2">
      <c r="A44" s="33">
        <v>10</v>
      </c>
      <c r="B44" s="43" t="s">
        <v>98</v>
      </c>
      <c r="C44" s="66">
        <f>'Q2 Scenario &amp; D-Bond'!C48</f>
        <v>114387.63721666667</v>
      </c>
      <c r="D44" s="66">
        <f>'Q2 Scenario &amp; D-Bond'!D48</f>
        <v>114387.63721666667</v>
      </c>
      <c r="E44" s="34">
        <f t="shared" si="0"/>
        <v>114387.63721666667</v>
      </c>
      <c r="F44" s="34">
        <f t="shared" ca="1" si="1"/>
        <v>-23415244.714817375</v>
      </c>
      <c r="G44" s="46"/>
    </row>
    <row r="45" spans="1:7" x14ac:dyDescent="0.2">
      <c r="A45" s="31">
        <v>11</v>
      </c>
      <c r="B45" s="41" t="s">
        <v>98</v>
      </c>
      <c r="C45" s="66">
        <f>'Q2 Scenario &amp; D-Bond'!C49</f>
        <v>114387.63721666667</v>
      </c>
      <c r="D45" s="66">
        <f>'Q2 Scenario &amp; D-Bond'!D49</f>
        <v>114387.63721666667</v>
      </c>
      <c r="E45" s="27">
        <f t="shared" si="0"/>
        <v>114387.63721666667</v>
      </c>
      <c r="F45" s="27">
        <f t="shared" ca="1" si="1"/>
        <v>-23300857.07760071</v>
      </c>
      <c r="G45" s="42"/>
    </row>
    <row r="46" spans="1:7" x14ac:dyDescent="0.2">
      <c r="A46" s="33">
        <v>12</v>
      </c>
      <c r="B46" s="43" t="s">
        <v>98</v>
      </c>
      <c r="C46" s="66">
        <f>'Q2 Scenario &amp; D-Bond'!C50</f>
        <v>114387.63721666667</v>
      </c>
      <c r="D46" s="66">
        <f>'Q2 Scenario &amp; D-Bond'!D50</f>
        <v>114387.63721666667</v>
      </c>
      <c r="E46" s="34">
        <f t="shared" si="0"/>
        <v>114387.63721666667</v>
      </c>
      <c r="F46" s="34">
        <f t="shared" ca="1" si="1"/>
        <v>-23186469.440384045</v>
      </c>
      <c r="G46" s="46"/>
    </row>
    <row r="47" spans="1:7" x14ac:dyDescent="0.2">
      <c r="A47" s="31">
        <v>13</v>
      </c>
      <c r="B47" s="41" t="s">
        <v>98</v>
      </c>
      <c r="C47" s="66">
        <f>'Q2 Scenario &amp; D-Bond'!C51</f>
        <v>114387.63721666667</v>
      </c>
      <c r="D47" s="66">
        <f>'Q2 Scenario &amp; D-Bond'!D51</f>
        <v>114387.63721666667</v>
      </c>
      <c r="E47" s="27">
        <f t="shared" si="0"/>
        <v>114387.63721666667</v>
      </c>
      <c r="F47" s="27">
        <f t="shared" ca="1" si="1"/>
        <v>-23072081.80316738</v>
      </c>
      <c r="G47" s="42"/>
    </row>
    <row r="48" spans="1:7" x14ac:dyDescent="0.2">
      <c r="A48" s="33">
        <v>14</v>
      </c>
      <c r="B48" s="43" t="s">
        <v>98</v>
      </c>
      <c r="C48" s="66">
        <f>'Q2 Scenario &amp; D-Bond'!C52</f>
        <v>114387.63721666667</v>
      </c>
      <c r="D48" s="66">
        <f>'Q2 Scenario &amp; D-Bond'!D52</f>
        <v>114387.63721666667</v>
      </c>
      <c r="E48" s="34">
        <f t="shared" si="0"/>
        <v>114387.63721666667</v>
      </c>
      <c r="F48" s="34">
        <f t="shared" ca="1" si="1"/>
        <v>-22957694.165950716</v>
      </c>
      <c r="G48" s="46"/>
    </row>
    <row r="49" spans="1:7" x14ac:dyDescent="0.2">
      <c r="A49" s="31">
        <v>15</v>
      </c>
      <c r="B49" s="41" t="s">
        <v>98</v>
      </c>
      <c r="C49" s="66">
        <f>'Q2 Scenario &amp; D-Bond'!C53</f>
        <v>114387.63721666667</v>
      </c>
      <c r="D49" s="66">
        <f>'Q2 Scenario &amp; D-Bond'!D53</f>
        <v>114387.63721666667</v>
      </c>
      <c r="E49" s="27">
        <f t="shared" si="0"/>
        <v>114387.63721666667</v>
      </c>
      <c r="F49" s="27">
        <f t="shared" ca="1" si="1"/>
        <v>-22843306.528734051</v>
      </c>
      <c r="G49" s="42"/>
    </row>
    <row r="50" spans="1:7" x14ac:dyDescent="0.2">
      <c r="A50" s="33">
        <v>16</v>
      </c>
      <c r="B50" s="43" t="s">
        <v>98</v>
      </c>
      <c r="C50" s="66">
        <f>'Q2 Scenario &amp; D-Bond'!C54</f>
        <v>114387.63721666667</v>
      </c>
      <c r="D50" s="66">
        <f>'Q2 Scenario &amp; D-Bond'!D54</f>
        <v>114387.63721666667</v>
      </c>
      <c r="E50" s="34">
        <f t="shared" si="0"/>
        <v>114387.63721666667</v>
      </c>
      <c r="F50" s="34">
        <f t="shared" ca="1" si="1"/>
        <v>-22728918.891517386</v>
      </c>
      <c r="G50" s="46"/>
    </row>
    <row r="51" spans="1:7" x14ac:dyDescent="0.2">
      <c r="A51" s="31">
        <v>17</v>
      </c>
      <c r="B51" s="41" t="s">
        <v>98</v>
      </c>
      <c r="C51" s="66">
        <f>'Q2 Scenario &amp; D-Bond'!C55</f>
        <v>114387.63721666667</v>
      </c>
      <c r="D51" s="66">
        <f>'Q2 Scenario &amp; D-Bond'!D55</f>
        <v>114387.63721666667</v>
      </c>
      <c r="E51" s="27">
        <f t="shared" si="0"/>
        <v>114387.63721666667</v>
      </c>
      <c r="F51" s="27">
        <f t="shared" ca="1" si="1"/>
        <v>-22614531.254300721</v>
      </c>
      <c r="G51" s="42"/>
    </row>
    <row r="52" spans="1:7" x14ac:dyDescent="0.2">
      <c r="A52" s="33">
        <v>18</v>
      </c>
      <c r="B52" s="43" t="s">
        <v>98</v>
      </c>
      <c r="C52" s="66">
        <f>'Q2 Scenario &amp; D-Bond'!C56</f>
        <v>114387.63721666667</v>
      </c>
      <c r="D52" s="66">
        <f>'Q2 Scenario &amp; D-Bond'!D56</f>
        <v>114387.63721666667</v>
      </c>
      <c r="E52" s="34">
        <f t="shared" si="0"/>
        <v>114387.63721666667</v>
      </c>
      <c r="F52" s="34">
        <f t="shared" ca="1" si="1"/>
        <v>-22500143.617084056</v>
      </c>
      <c r="G52" s="46"/>
    </row>
    <row r="53" spans="1:7" x14ac:dyDescent="0.2">
      <c r="A53" s="31">
        <v>19</v>
      </c>
      <c r="B53" s="41" t="s">
        <v>98</v>
      </c>
      <c r="C53" s="66">
        <f>'Q2 Scenario &amp; D-Bond'!C57</f>
        <v>114387.63721666667</v>
      </c>
      <c r="D53" s="66">
        <f>'Q2 Scenario &amp; D-Bond'!D57</f>
        <v>114387.63721666667</v>
      </c>
      <c r="E53" s="27">
        <f t="shared" si="0"/>
        <v>114387.63721666667</v>
      </c>
      <c r="F53" s="27">
        <f t="shared" ca="1" si="1"/>
        <v>-22385755.979867391</v>
      </c>
      <c r="G53" s="42"/>
    </row>
    <row r="54" spans="1:7" x14ac:dyDescent="0.2">
      <c r="A54" s="33">
        <v>20</v>
      </c>
      <c r="B54" s="43" t="s">
        <v>98</v>
      </c>
      <c r="C54" s="66">
        <f>'Q2 Scenario &amp; D-Bond'!C58</f>
        <v>114387.63721666667</v>
      </c>
      <c r="D54" s="66">
        <f>'Q2 Scenario &amp; D-Bond'!D58</f>
        <v>114387.63721666667</v>
      </c>
      <c r="E54" s="34">
        <f t="shared" si="0"/>
        <v>114387.63721666667</v>
      </c>
      <c r="F54" s="34">
        <f t="shared" ca="1" si="1"/>
        <v>-22271368.342650726</v>
      </c>
      <c r="G54" s="46"/>
    </row>
    <row r="55" spans="1:7" x14ac:dyDescent="0.2">
      <c r="A55" s="31">
        <v>21</v>
      </c>
      <c r="B55" s="41" t="s">
        <v>98</v>
      </c>
      <c r="C55" s="66">
        <f>'Q2 Scenario &amp; D-Bond'!C59</f>
        <v>114387.63721666667</v>
      </c>
      <c r="D55" s="66">
        <f>'Q2 Scenario &amp; D-Bond'!D59</f>
        <v>114387.63721666667</v>
      </c>
      <c r="E55" s="27">
        <f t="shared" si="0"/>
        <v>114387.63721666667</v>
      </c>
      <c r="F55" s="27">
        <f t="shared" ca="1" si="1"/>
        <v>-22156980.705434062</v>
      </c>
      <c r="G55" s="42"/>
    </row>
    <row r="56" spans="1:7" x14ac:dyDescent="0.2">
      <c r="A56" s="33">
        <v>22</v>
      </c>
      <c r="B56" s="43" t="s">
        <v>98</v>
      </c>
      <c r="C56" s="66">
        <f>'Q2 Scenario &amp; D-Bond'!C60</f>
        <v>114387.63721666667</v>
      </c>
      <c r="D56" s="66">
        <f>'Q2 Scenario &amp; D-Bond'!D60</f>
        <v>114387.63721666667</v>
      </c>
      <c r="E56" s="34">
        <f t="shared" si="0"/>
        <v>114387.63721666667</v>
      </c>
      <c r="F56" s="34">
        <f t="shared" ca="1" si="1"/>
        <v>-22042593.068217397</v>
      </c>
      <c r="G56" s="46"/>
    </row>
    <row r="57" spans="1:7" x14ac:dyDescent="0.2">
      <c r="A57" s="31">
        <v>23</v>
      </c>
      <c r="B57" s="41" t="s">
        <v>98</v>
      </c>
      <c r="C57" s="66">
        <f>'Q2 Scenario &amp; D-Bond'!C61</f>
        <v>114387.63721666667</v>
      </c>
      <c r="D57" s="66">
        <f>'Q2 Scenario &amp; D-Bond'!D61</f>
        <v>114387.63721666667</v>
      </c>
      <c r="E57" s="27">
        <f t="shared" si="0"/>
        <v>114387.63721666667</v>
      </c>
      <c r="F57" s="27">
        <f t="shared" ca="1" si="1"/>
        <v>-21928205.431000732</v>
      </c>
      <c r="G57" s="42"/>
    </row>
    <row r="58" spans="1:7" x14ac:dyDescent="0.2">
      <c r="A58" s="33">
        <v>24</v>
      </c>
      <c r="B58" s="43" t="s">
        <v>98</v>
      </c>
      <c r="C58" s="66">
        <f>'Q2 Scenario &amp; D-Bond'!C62</f>
        <v>114387.63721666667</v>
      </c>
      <c r="D58" s="66">
        <f>'Q2 Scenario &amp; D-Bond'!D62</f>
        <v>114387.63721666667</v>
      </c>
      <c r="E58" s="34">
        <f t="shared" si="0"/>
        <v>114387.63721666667</v>
      </c>
      <c r="F58" s="34">
        <f t="shared" ca="1" si="1"/>
        <v>-21813817.793784067</v>
      </c>
      <c r="G58" s="46"/>
    </row>
    <row r="59" spans="1:7" x14ac:dyDescent="0.2">
      <c r="A59" s="31">
        <v>25</v>
      </c>
      <c r="B59" s="41" t="s">
        <v>98</v>
      </c>
      <c r="C59" s="66">
        <f>'Q2 Scenario &amp; D-Bond'!C63</f>
        <v>114387.63721666667</v>
      </c>
      <c r="D59" s="66">
        <f>'Q2 Scenario &amp; D-Bond'!D63</f>
        <v>114387.63721666667</v>
      </c>
      <c r="E59" s="27">
        <f t="shared" si="0"/>
        <v>114387.63721666667</v>
      </c>
      <c r="F59" s="27">
        <f t="shared" ca="1" si="1"/>
        <v>-21699430.156567402</v>
      </c>
      <c r="G59" s="42"/>
    </row>
    <row r="60" spans="1:7" x14ac:dyDescent="0.2">
      <c r="A60" s="33">
        <v>26</v>
      </c>
      <c r="B60" s="43" t="s">
        <v>98</v>
      </c>
      <c r="C60" s="66">
        <f>'Q2 Scenario &amp; D-Bond'!C64</f>
        <v>114387.63721666667</v>
      </c>
      <c r="D60" s="66">
        <f>'Q2 Scenario &amp; D-Bond'!D64</f>
        <v>114387.63721666667</v>
      </c>
      <c r="E60" s="34">
        <f t="shared" si="0"/>
        <v>114387.63721666667</v>
      </c>
      <c r="F60" s="34">
        <f t="shared" ca="1" si="1"/>
        <v>-21585042.519350737</v>
      </c>
      <c r="G60" s="46"/>
    </row>
    <row r="61" spans="1:7" x14ac:dyDescent="0.2">
      <c r="A61" s="31">
        <v>27</v>
      </c>
      <c r="B61" s="41" t="s">
        <v>98</v>
      </c>
      <c r="C61" s="66">
        <f>'Q2 Scenario &amp; D-Bond'!C65</f>
        <v>114387.63721666667</v>
      </c>
      <c r="D61" s="66">
        <f>'Q2 Scenario &amp; D-Bond'!D65</f>
        <v>114387.63721666667</v>
      </c>
      <c r="E61" s="27">
        <f t="shared" si="0"/>
        <v>114387.63721666667</v>
      </c>
      <c r="F61" s="27">
        <f t="shared" ca="1" si="1"/>
        <v>-21470654.882134072</v>
      </c>
      <c r="G61" s="42"/>
    </row>
    <row r="62" spans="1:7" x14ac:dyDescent="0.2">
      <c r="A62" s="33">
        <v>28</v>
      </c>
      <c r="B62" s="43" t="s">
        <v>98</v>
      </c>
      <c r="C62" s="66">
        <f>'Q2 Scenario &amp; D-Bond'!C66</f>
        <v>114387.63721666667</v>
      </c>
      <c r="D62" s="66">
        <f>'Q2 Scenario &amp; D-Bond'!D66</f>
        <v>114387.63721666667</v>
      </c>
      <c r="E62" s="34">
        <f t="shared" si="0"/>
        <v>114387.63721666667</v>
      </c>
      <c r="F62" s="34">
        <f t="shared" ca="1" si="1"/>
        <v>-21356267.244917408</v>
      </c>
      <c r="G62" s="46"/>
    </row>
    <row r="63" spans="1:7" x14ac:dyDescent="0.2">
      <c r="A63" s="31">
        <v>29</v>
      </c>
      <c r="B63" s="41" t="s">
        <v>98</v>
      </c>
      <c r="C63" s="66">
        <f>'Q2 Scenario &amp; D-Bond'!C67</f>
        <v>114387.63721666667</v>
      </c>
      <c r="D63" s="66">
        <f>'Q2 Scenario &amp; D-Bond'!D67</f>
        <v>114387.63721666667</v>
      </c>
      <c r="E63" s="27">
        <f t="shared" si="0"/>
        <v>114387.63721666667</v>
      </c>
      <c r="F63" s="27">
        <f t="shared" ca="1" si="1"/>
        <v>-21241879.607700743</v>
      </c>
      <c r="G63" s="42"/>
    </row>
    <row r="64" spans="1:7" ht="45" x14ac:dyDescent="0.2">
      <c r="A64" s="31">
        <v>30</v>
      </c>
      <c r="B64" s="41" t="s">
        <v>99</v>
      </c>
      <c r="C64" s="67">
        <f>'Q2 Scenario &amp; D-Bond'!C68</f>
        <v>114387.63721666667</v>
      </c>
      <c r="D64" s="67">
        <f>'Q2 Scenario &amp; D-Bond'!D68</f>
        <v>15504194.073156105</v>
      </c>
      <c r="E64" s="27">
        <f t="shared" si="0"/>
        <v>2422858.6026075827</v>
      </c>
      <c r="F64" s="27">
        <f t="shared" ca="1" si="1"/>
        <v>-18819021.005093161</v>
      </c>
      <c r="G64" s="42" t="s">
        <v>142</v>
      </c>
    </row>
    <row r="65" spans="1:7" ht="30" x14ac:dyDescent="0.2">
      <c r="A65" s="31">
        <v>31</v>
      </c>
      <c r="B65" s="41" t="s">
        <v>143</v>
      </c>
      <c r="C65" s="66">
        <f>'Q2 Scenario &amp; D-Bond'!C69</f>
        <v>114387.63721666667</v>
      </c>
      <c r="D65" s="68">
        <f>'Q2 Scenario &amp; D-Bond'!D69</f>
        <v>0</v>
      </c>
      <c r="E65" s="27">
        <f t="shared" si="0"/>
        <v>97229.491634166669</v>
      </c>
      <c r="F65" s="27">
        <f t="shared" ca="1" si="1"/>
        <v>-18721791.513458993</v>
      </c>
      <c r="G65" s="42" t="s">
        <v>144</v>
      </c>
    </row>
    <row r="66" spans="1:7" ht="30" x14ac:dyDescent="0.2">
      <c r="A66" s="33">
        <v>32</v>
      </c>
      <c r="B66" s="43" t="s">
        <v>143</v>
      </c>
      <c r="C66" s="66">
        <f>'Q2 Scenario &amp; D-Bond'!C70</f>
        <v>114387.63721666667</v>
      </c>
      <c r="D66" s="68">
        <f>'Q2 Scenario &amp; D-Bond'!D70</f>
        <v>0</v>
      </c>
      <c r="E66" s="34">
        <f t="shared" si="0"/>
        <v>97229.491634166669</v>
      </c>
      <c r="F66" s="34">
        <f t="shared" ca="1" si="1"/>
        <v>-18624562.021824826</v>
      </c>
      <c r="G66" s="46"/>
    </row>
    <row r="67" spans="1:7" ht="30" x14ac:dyDescent="0.2">
      <c r="A67" s="31">
        <v>33</v>
      </c>
      <c r="B67" s="41" t="s">
        <v>143</v>
      </c>
      <c r="C67" s="66">
        <f>'Q2 Scenario &amp; D-Bond'!C71</f>
        <v>114387.63721666667</v>
      </c>
      <c r="D67" s="68">
        <f>'Q2 Scenario &amp; D-Bond'!D71</f>
        <v>0</v>
      </c>
      <c r="E67" s="27">
        <f t="shared" ref="E67:E98" si="2">0.85*C67+0.15*D67</f>
        <v>97229.491634166669</v>
      </c>
      <c r="F67" s="27">
        <f t="shared" ref="F67:F98" ca="1" si="3">F66+E67</f>
        <v>-18527332.530190658</v>
      </c>
      <c r="G67" s="42"/>
    </row>
    <row r="68" spans="1:7" ht="30" x14ac:dyDescent="0.2">
      <c r="A68" s="33">
        <v>34</v>
      </c>
      <c r="B68" s="43" t="s">
        <v>143</v>
      </c>
      <c r="C68" s="66">
        <f>'Q2 Scenario &amp; D-Bond'!C72</f>
        <v>114387.63721666667</v>
      </c>
      <c r="D68" s="68">
        <f>'Q2 Scenario &amp; D-Bond'!D72</f>
        <v>0</v>
      </c>
      <c r="E68" s="34">
        <f t="shared" si="2"/>
        <v>97229.491634166669</v>
      </c>
      <c r="F68" s="34">
        <f t="shared" ca="1" si="3"/>
        <v>-18430103.03855649</v>
      </c>
      <c r="G68" s="46"/>
    </row>
    <row r="69" spans="1:7" ht="30" x14ac:dyDescent="0.2">
      <c r="A69" s="31">
        <v>35</v>
      </c>
      <c r="B69" s="41" t="s">
        <v>143</v>
      </c>
      <c r="C69" s="66">
        <f>'Q2 Scenario &amp; D-Bond'!C73</f>
        <v>114387.63721666667</v>
      </c>
      <c r="D69" s="68">
        <f>'Q2 Scenario &amp; D-Bond'!D73</f>
        <v>0</v>
      </c>
      <c r="E69" s="27">
        <f t="shared" si="2"/>
        <v>97229.491634166669</v>
      </c>
      <c r="F69" s="27">
        <f t="shared" ca="1" si="3"/>
        <v>-18332873.546922322</v>
      </c>
      <c r="G69" s="42"/>
    </row>
    <row r="70" spans="1:7" ht="30" x14ac:dyDescent="0.2">
      <c r="A70" s="33">
        <v>36</v>
      </c>
      <c r="B70" s="43" t="s">
        <v>143</v>
      </c>
      <c r="C70" s="66">
        <f>'Q2 Scenario &amp; D-Bond'!C74</f>
        <v>114387.63721666667</v>
      </c>
      <c r="D70" s="68">
        <f>'Q2 Scenario &amp; D-Bond'!D74</f>
        <v>0</v>
      </c>
      <c r="E70" s="34">
        <f t="shared" si="2"/>
        <v>97229.491634166669</v>
      </c>
      <c r="F70" s="34">
        <f t="shared" ca="1" si="3"/>
        <v>-18235644.055288155</v>
      </c>
      <c r="G70" s="46"/>
    </row>
    <row r="71" spans="1:7" ht="30" x14ac:dyDescent="0.2">
      <c r="A71" s="31">
        <v>37</v>
      </c>
      <c r="B71" s="41" t="s">
        <v>143</v>
      </c>
      <c r="C71" s="66">
        <f>'Q2 Scenario &amp; D-Bond'!C75</f>
        <v>114387.63721666667</v>
      </c>
      <c r="D71" s="68">
        <f>'Q2 Scenario &amp; D-Bond'!D75</f>
        <v>0</v>
      </c>
      <c r="E71" s="27">
        <f t="shared" si="2"/>
        <v>97229.491634166669</v>
      </c>
      <c r="F71" s="27">
        <f t="shared" ca="1" si="3"/>
        <v>-18138414.563653987</v>
      </c>
      <c r="G71" s="42"/>
    </row>
    <row r="72" spans="1:7" ht="30" x14ac:dyDescent="0.2">
      <c r="A72" s="33">
        <v>38</v>
      </c>
      <c r="B72" s="43" t="s">
        <v>143</v>
      </c>
      <c r="C72" s="66">
        <f>'Q2 Scenario &amp; D-Bond'!C76</f>
        <v>114387.63721666667</v>
      </c>
      <c r="D72" s="68">
        <f>'Q2 Scenario &amp; D-Bond'!D76</f>
        <v>0</v>
      </c>
      <c r="E72" s="34">
        <f t="shared" si="2"/>
        <v>97229.491634166669</v>
      </c>
      <c r="F72" s="34">
        <f t="shared" ca="1" si="3"/>
        <v>-18041185.072019819</v>
      </c>
      <c r="G72" s="46"/>
    </row>
    <row r="73" spans="1:7" ht="30" x14ac:dyDescent="0.2">
      <c r="A73" s="31">
        <v>39</v>
      </c>
      <c r="B73" s="41" t="s">
        <v>143</v>
      </c>
      <c r="C73" s="66">
        <f>'Q2 Scenario &amp; D-Bond'!C77</f>
        <v>114387.63721666667</v>
      </c>
      <c r="D73" s="68">
        <f>'Q2 Scenario &amp; D-Bond'!D77</f>
        <v>0</v>
      </c>
      <c r="E73" s="27">
        <f t="shared" si="2"/>
        <v>97229.491634166669</v>
      </c>
      <c r="F73" s="27">
        <f t="shared" ca="1" si="3"/>
        <v>-17943955.580385651</v>
      </c>
      <c r="G73" s="42"/>
    </row>
    <row r="74" spans="1:7" ht="30" x14ac:dyDescent="0.2">
      <c r="A74" s="33">
        <v>40</v>
      </c>
      <c r="B74" s="43" t="s">
        <v>143</v>
      </c>
      <c r="C74" s="66">
        <f>'Q2 Scenario &amp; D-Bond'!C78</f>
        <v>114387.63721666667</v>
      </c>
      <c r="D74" s="68">
        <f>'Q2 Scenario &amp; D-Bond'!D78</f>
        <v>0</v>
      </c>
      <c r="E74" s="34">
        <f t="shared" si="2"/>
        <v>97229.491634166669</v>
      </c>
      <c r="F74" s="34">
        <f t="shared" ca="1" si="3"/>
        <v>-17846726.088751484</v>
      </c>
      <c r="G74" s="46"/>
    </row>
    <row r="75" spans="1:7" ht="30" x14ac:dyDescent="0.2">
      <c r="A75" s="31">
        <v>41</v>
      </c>
      <c r="B75" s="41" t="s">
        <v>143</v>
      </c>
      <c r="C75" s="66">
        <f>'Q2 Scenario &amp; D-Bond'!C79</f>
        <v>114387.63721666667</v>
      </c>
      <c r="D75" s="68">
        <f>'Q2 Scenario &amp; D-Bond'!D79</f>
        <v>0</v>
      </c>
      <c r="E75" s="27">
        <f t="shared" si="2"/>
        <v>97229.491634166669</v>
      </c>
      <c r="F75" s="27">
        <f t="shared" ca="1" si="3"/>
        <v>-17749496.597117316</v>
      </c>
      <c r="G75" s="42"/>
    </row>
    <row r="76" spans="1:7" ht="30" x14ac:dyDescent="0.2">
      <c r="A76" s="33">
        <v>42</v>
      </c>
      <c r="B76" s="43" t="s">
        <v>143</v>
      </c>
      <c r="C76" s="66">
        <f>'Q2 Scenario &amp; D-Bond'!C80</f>
        <v>114387.63721666667</v>
      </c>
      <c r="D76" s="68">
        <f>'Q2 Scenario &amp; D-Bond'!D80</f>
        <v>0</v>
      </c>
      <c r="E76" s="34">
        <f t="shared" si="2"/>
        <v>97229.491634166669</v>
      </c>
      <c r="F76" s="34">
        <f t="shared" ca="1" si="3"/>
        <v>-17652267.105483148</v>
      </c>
      <c r="G76" s="46"/>
    </row>
    <row r="77" spans="1:7" ht="30" x14ac:dyDescent="0.2">
      <c r="A77" s="31">
        <v>43</v>
      </c>
      <c r="B77" s="41" t="s">
        <v>143</v>
      </c>
      <c r="C77" s="66">
        <f>'Q2 Scenario &amp; D-Bond'!C81</f>
        <v>114387.63721666667</v>
      </c>
      <c r="D77" s="68">
        <f>'Q2 Scenario &amp; D-Bond'!D81</f>
        <v>0</v>
      </c>
      <c r="E77" s="27">
        <f t="shared" si="2"/>
        <v>97229.491634166669</v>
      </c>
      <c r="F77" s="27">
        <f t="shared" ca="1" si="3"/>
        <v>-17555037.613848981</v>
      </c>
      <c r="G77" s="42"/>
    </row>
    <row r="78" spans="1:7" ht="30" x14ac:dyDescent="0.2">
      <c r="A78" s="33">
        <v>44</v>
      </c>
      <c r="B78" s="43" t="s">
        <v>143</v>
      </c>
      <c r="C78" s="66">
        <f>'Q2 Scenario &amp; D-Bond'!C82</f>
        <v>114387.63721666667</v>
      </c>
      <c r="D78" s="68">
        <f>'Q2 Scenario &amp; D-Bond'!D82</f>
        <v>0</v>
      </c>
      <c r="E78" s="34">
        <f t="shared" si="2"/>
        <v>97229.491634166669</v>
      </c>
      <c r="F78" s="34">
        <f t="shared" ca="1" si="3"/>
        <v>-17457808.122214813</v>
      </c>
      <c r="G78" s="46"/>
    </row>
    <row r="79" spans="1:7" ht="30" x14ac:dyDescent="0.2">
      <c r="A79" s="31">
        <v>45</v>
      </c>
      <c r="B79" s="41" t="s">
        <v>143</v>
      </c>
      <c r="C79" s="66">
        <f>'Q2 Scenario &amp; D-Bond'!C83</f>
        <v>114387.63721666667</v>
      </c>
      <c r="D79" s="68">
        <f>'Q2 Scenario &amp; D-Bond'!D83</f>
        <v>0</v>
      </c>
      <c r="E79" s="27">
        <f t="shared" si="2"/>
        <v>97229.491634166669</v>
      </c>
      <c r="F79" s="27">
        <f t="shared" ca="1" si="3"/>
        <v>-17360578.630580645</v>
      </c>
      <c r="G79" s="42"/>
    </row>
    <row r="80" spans="1:7" ht="30" x14ac:dyDescent="0.2">
      <c r="A80" s="33">
        <v>46</v>
      </c>
      <c r="B80" s="43" t="s">
        <v>143</v>
      </c>
      <c r="C80" s="66">
        <f>'Q2 Scenario &amp; D-Bond'!C84</f>
        <v>114387.63721666667</v>
      </c>
      <c r="D80" s="68">
        <f>'Q2 Scenario &amp; D-Bond'!D84</f>
        <v>0</v>
      </c>
      <c r="E80" s="34">
        <f t="shared" si="2"/>
        <v>97229.491634166669</v>
      </c>
      <c r="F80" s="34">
        <f t="shared" ca="1" si="3"/>
        <v>-17263349.138946477</v>
      </c>
      <c r="G80" s="46"/>
    </row>
    <row r="81" spans="1:7" ht="30" x14ac:dyDescent="0.2">
      <c r="A81" s="31">
        <v>47</v>
      </c>
      <c r="B81" s="41" t="s">
        <v>143</v>
      </c>
      <c r="C81" s="66">
        <f>'Q2 Scenario &amp; D-Bond'!C85</f>
        <v>114387.63721666667</v>
      </c>
      <c r="D81" s="68">
        <f>'Q2 Scenario &amp; D-Bond'!D85</f>
        <v>0</v>
      </c>
      <c r="E81" s="27">
        <f t="shared" si="2"/>
        <v>97229.491634166669</v>
      </c>
      <c r="F81" s="27">
        <f t="shared" ca="1" si="3"/>
        <v>-17166119.64731231</v>
      </c>
      <c r="G81" s="42"/>
    </row>
    <row r="82" spans="1:7" ht="30" x14ac:dyDescent="0.2">
      <c r="A82" s="33">
        <v>48</v>
      </c>
      <c r="B82" s="43" t="s">
        <v>143</v>
      </c>
      <c r="C82" s="66">
        <f>'Q2 Scenario &amp; D-Bond'!C86</f>
        <v>114387.63721666667</v>
      </c>
      <c r="D82" s="68">
        <f>'Q2 Scenario &amp; D-Bond'!D86</f>
        <v>0</v>
      </c>
      <c r="E82" s="34">
        <f t="shared" si="2"/>
        <v>97229.491634166669</v>
      </c>
      <c r="F82" s="34">
        <f t="shared" ca="1" si="3"/>
        <v>-17068890.155678142</v>
      </c>
      <c r="G82" s="46"/>
    </row>
    <row r="83" spans="1:7" ht="30" x14ac:dyDescent="0.2">
      <c r="A83" s="31">
        <v>49</v>
      </c>
      <c r="B83" s="41" t="s">
        <v>143</v>
      </c>
      <c r="C83" s="66">
        <f>'Q2 Scenario &amp; D-Bond'!C87</f>
        <v>114387.63721666667</v>
      </c>
      <c r="D83" s="68">
        <f>'Q2 Scenario &amp; D-Bond'!D87</f>
        <v>0</v>
      </c>
      <c r="E83" s="27">
        <f t="shared" si="2"/>
        <v>97229.491634166669</v>
      </c>
      <c r="F83" s="27">
        <f t="shared" ca="1" si="3"/>
        <v>-16971660.664043974</v>
      </c>
      <c r="G83" s="42"/>
    </row>
    <row r="84" spans="1:7" ht="30" x14ac:dyDescent="0.2">
      <c r="A84" s="33">
        <v>50</v>
      </c>
      <c r="B84" s="43" t="s">
        <v>143</v>
      </c>
      <c r="C84" s="66">
        <f>'Q2 Scenario &amp; D-Bond'!C88</f>
        <v>114387.63721666667</v>
      </c>
      <c r="D84" s="68">
        <f>'Q2 Scenario &amp; D-Bond'!D88</f>
        <v>0</v>
      </c>
      <c r="E84" s="34">
        <f t="shared" si="2"/>
        <v>97229.491634166669</v>
      </c>
      <c r="F84" s="34">
        <f t="shared" ca="1" si="3"/>
        <v>-16874431.172409806</v>
      </c>
      <c r="G84" s="46"/>
    </row>
    <row r="85" spans="1:7" ht="30" x14ac:dyDescent="0.2">
      <c r="A85" s="31">
        <v>51</v>
      </c>
      <c r="B85" s="41" t="s">
        <v>143</v>
      </c>
      <c r="C85" s="66">
        <f>'Q2 Scenario &amp; D-Bond'!C89</f>
        <v>114387.63721666667</v>
      </c>
      <c r="D85" s="68">
        <f>'Q2 Scenario &amp; D-Bond'!D89</f>
        <v>0</v>
      </c>
      <c r="E85" s="27">
        <f t="shared" si="2"/>
        <v>97229.491634166669</v>
      </c>
      <c r="F85" s="27">
        <f t="shared" ca="1" si="3"/>
        <v>-16777201.680775641</v>
      </c>
      <c r="G85" s="42"/>
    </row>
    <row r="86" spans="1:7" ht="30" x14ac:dyDescent="0.2">
      <c r="A86" s="33">
        <v>52</v>
      </c>
      <c r="B86" s="43" t="s">
        <v>143</v>
      </c>
      <c r="C86" s="66">
        <f>'Q2 Scenario &amp; D-Bond'!C90</f>
        <v>114387.63721666667</v>
      </c>
      <c r="D86" s="68">
        <f>'Q2 Scenario &amp; D-Bond'!D90</f>
        <v>0</v>
      </c>
      <c r="E86" s="34">
        <f t="shared" si="2"/>
        <v>97229.491634166669</v>
      </c>
      <c r="F86" s="34">
        <f t="shared" ca="1" si="3"/>
        <v>-16679972.189141475</v>
      </c>
      <c r="G86" s="46"/>
    </row>
    <row r="87" spans="1:7" ht="30" x14ac:dyDescent="0.2">
      <c r="A87" s="31">
        <v>53</v>
      </c>
      <c r="B87" s="41" t="s">
        <v>143</v>
      </c>
      <c r="C87" s="66">
        <f>'Q2 Scenario &amp; D-Bond'!C91</f>
        <v>114387.63721666667</v>
      </c>
      <c r="D87" s="68">
        <f>'Q2 Scenario &amp; D-Bond'!D91</f>
        <v>0</v>
      </c>
      <c r="E87" s="27">
        <f t="shared" si="2"/>
        <v>97229.491634166669</v>
      </c>
      <c r="F87" s="27">
        <f t="shared" ca="1" si="3"/>
        <v>-16582742.697507309</v>
      </c>
      <c r="G87" s="42"/>
    </row>
    <row r="88" spans="1:7" ht="30" x14ac:dyDescent="0.2">
      <c r="A88" s="33">
        <v>54</v>
      </c>
      <c r="B88" s="43" t="s">
        <v>143</v>
      </c>
      <c r="C88" s="66">
        <f>'Q2 Scenario &amp; D-Bond'!C92</f>
        <v>114387.63721666667</v>
      </c>
      <c r="D88" s="68">
        <f>'Q2 Scenario &amp; D-Bond'!D92</f>
        <v>0</v>
      </c>
      <c r="E88" s="34">
        <f t="shared" si="2"/>
        <v>97229.491634166669</v>
      </c>
      <c r="F88" s="34">
        <f t="shared" ca="1" si="3"/>
        <v>-16485513.205873143</v>
      </c>
      <c r="G88" s="46"/>
    </row>
    <row r="89" spans="1:7" ht="30" x14ac:dyDescent="0.2">
      <c r="A89" s="31">
        <v>55</v>
      </c>
      <c r="B89" s="41" t="s">
        <v>143</v>
      </c>
      <c r="C89" s="66">
        <f>'Q2 Scenario &amp; D-Bond'!C93</f>
        <v>114387.63721666667</v>
      </c>
      <c r="D89" s="68">
        <f>'Q2 Scenario &amp; D-Bond'!D93</f>
        <v>0</v>
      </c>
      <c r="E89" s="27">
        <f t="shared" si="2"/>
        <v>97229.491634166669</v>
      </c>
      <c r="F89" s="27">
        <f t="shared" ca="1" si="3"/>
        <v>-16388283.714238977</v>
      </c>
      <c r="G89" s="42"/>
    </row>
    <row r="90" spans="1:7" ht="30" x14ac:dyDescent="0.2">
      <c r="A90" s="33">
        <v>56</v>
      </c>
      <c r="B90" s="43" t="s">
        <v>143</v>
      </c>
      <c r="C90" s="66">
        <f>'Q2 Scenario &amp; D-Bond'!C94</f>
        <v>114387.63721666667</v>
      </c>
      <c r="D90" s="68">
        <f>'Q2 Scenario &amp; D-Bond'!D94</f>
        <v>0</v>
      </c>
      <c r="E90" s="34">
        <f t="shared" si="2"/>
        <v>97229.491634166669</v>
      </c>
      <c r="F90" s="34">
        <f t="shared" ca="1" si="3"/>
        <v>-16291054.222604811</v>
      </c>
      <c r="G90" s="46"/>
    </row>
    <row r="91" spans="1:7" ht="30" x14ac:dyDescent="0.2">
      <c r="A91" s="31">
        <v>57</v>
      </c>
      <c r="B91" s="41" t="s">
        <v>143</v>
      </c>
      <c r="C91" s="66">
        <f>'Q2 Scenario &amp; D-Bond'!C95</f>
        <v>114387.63721666667</v>
      </c>
      <c r="D91" s="68">
        <f>'Q2 Scenario &amp; D-Bond'!D95</f>
        <v>0</v>
      </c>
      <c r="E91" s="27">
        <f t="shared" si="2"/>
        <v>97229.491634166669</v>
      </c>
      <c r="F91" s="27">
        <f t="shared" ca="1" si="3"/>
        <v>-16193824.730970645</v>
      </c>
      <c r="G91" s="42"/>
    </row>
    <row r="92" spans="1:7" ht="30" x14ac:dyDescent="0.2">
      <c r="A92" s="33">
        <v>58</v>
      </c>
      <c r="B92" s="43" t="s">
        <v>143</v>
      </c>
      <c r="C92" s="66">
        <f>'Q2 Scenario &amp; D-Bond'!C96</f>
        <v>114387.63721666667</v>
      </c>
      <c r="D92" s="68">
        <f>'Q2 Scenario &amp; D-Bond'!D96</f>
        <v>0</v>
      </c>
      <c r="E92" s="34">
        <f t="shared" si="2"/>
        <v>97229.491634166669</v>
      </c>
      <c r="F92" s="34">
        <f t="shared" ca="1" si="3"/>
        <v>-16096595.239336479</v>
      </c>
      <c r="G92" s="46"/>
    </row>
    <row r="93" spans="1:7" ht="30" x14ac:dyDescent="0.2">
      <c r="A93" s="31">
        <v>59</v>
      </c>
      <c r="B93" s="41" t="s">
        <v>143</v>
      </c>
      <c r="C93" s="66">
        <f>'Q2 Scenario &amp; D-Bond'!C97</f>
        <v>114387.63721666667</v>
      </c>
      <c r="D93" s="68">
        <f>'Q2 Scenario &amp; D-Bond'!D97</f>
        <v>0</v>
      </c>
      <c r="E93" s="27">
        <f t="shared" si="2"/>
        <v>97229.491634166669</v>
      </c>
      <c r="F93" s="27">
        <f t="shared" ca="1" si="3"/>
        <v>-15999365.747702314</v>
      </c>
      <c r="G93" s="42"/>
    </row>
    <row r="94" spans="1:7" ht="30" x14ac:dyDescent="0.2">
      <c r="A94" s="31">
        <v>60</v>
      </c>
      <c r="B94" s="41" t="s">
        <v>145</v>
      </c>
      <c r="C94" s="66">
        <f>'Q2 Scenario &amp; D-Bond'!C98</f>
        <v>29548387.637216665</v>
      </c>
      <c r="D94" s="68">
        <f>'Q2 Scenario &amp; D-Bond'!D98</f>
        <v>0</v>
      </c>
      <c r="E94" s="27">
        <f t="shared" si="2"/>
        <v>25116129.491634164</v>
      </c>
      <c r="F94" s="27">
        <f t="shared" ca="1" si="3"/>
        <v>9116763.7439318504</v>
      </c>
      <c r="G94" s="42" t="s">
        <v>146</v>
      </c>
    </row>
    <row r="96" spans="1:7" x14ac:dyDescent="0.2">
      <c r="A96" s="12" t="s">
        <v>147</v>
      </c>
      <c r="B96" s="12"/>
      <c r="C96" s="12"/>
      <c r="D96" s="12"/>
    </row>
    <row r="97" spans="1:5" ht="30" x14ac:dyDescent="0.2">
      <c r="A97" s="51" t="s">
        <v>148</v>
      </c>
      <c r="B97" s="38">
        <f ca="1">IFERROR((1+IRR(E34:E94,0.006))^12-1,"err")</f>
        <v>7.6500000000001345E-2</v>
      </c>
    </row>
    <row r="98" spans="1:5" x14ac:dyDescent="0.2">
      <c r="A98" s="41" t="s">
        <v>169</v>
      </c>
      <c r="B98" s="36">
        <f>B10</f>
        <v>7.6500000000000012E-2</v>
      </c>
    </row>
    <row r="99" spans="1:5" x14ac:dyDescent="0.2">
      <c r="A99" s="41" t="s">
        <v>149</v>
      </c>
      <c r="B99" s="36">
        <f ca="1">IFERROR((1+IRR(C34:C94,0.007))^12-1,"err")</f>
        <v>9.1275989495582577E-2</v>
      </c>
    </row>
    <row r="101" spans="1:5" x14ac:dyDescent="0.2">
      <c r="A101" s="12" t="s">
        <v>150</v>
      </c>
      <c r="B101" s="12"/>
      <c r="C101" s="12"/>
      <c r="D101" s="12"/>
      <c r="E101" s="12"/>
    </row>
    <row r="102" spans="1:5" x14ac:dyDescent="0.2">
      <c r="A102" s="30" t="s">
        <v>151</v>
      </c>
      <c r="B102" s="30" t="s">
        <v>152</v>
      </c>
      <c r="C102" s="30" t="s">
        <v>153</v>
      </c>
      <c r="D102" s="30" t="s">
        <v>154</v>
      </c>
    </row>
    <row r="103" spans="1:5" x14ac:dyDescent="0.2">
      <c r="A103" s="51" t="s">
        <v>155</v>
      </c>
      <c r="B103" s="69">
        <f>'Q1 Direct Lending'!B86</f>
        <v>8.5692021300020293E-2</v>
      </c>
      <c r="C103" s="69">
        <f>'Q2 Scenario &amp; D-Bond'!B102</f>
        <v>4.7644715868689236E-2</v>
      </c>
      <c r="D103" s="69">
        <f ca="1">B99</f>
        <v>9.1275989495582577E-2</v>
      </c>
    </row>
    <row r="104" spans="1:5" x14ac:dyDescent="0.2">
      <c r="A104" s="51" t="s">
        <v>156</v>
      </c>
      <c r="B104" s="70">
        <f>'Q1 Direct Lending'!B88</f>
        <v>7.1240310449847466E-2</v>
      </c>
      <c r="C104" s="70">
        <f>'Q2 Scenario &amp; D-Bond'!B101</f>
        <v>3.1654468476506326E-2</v>
      </c>
      <c r="D104" s="70">
        <f ca="1">B97</f>
        <v>7.6500000000001345E-2</v>
      </c>
    </row>
    <row r="105" spans="1:5" x14ac:dyDescent="0.2">
      <c r="A105" s="51" t="s">
        <v>157</v>
      </c>
      <c r="B105" s="71" t="s">
        <v>158</v>
      </c>
      <c r="C105" s="71" t="s">
        <v>159</v>
      </c>
      <c r="D105" s="72" t="str">
        <f ca="1">TEXT(B21,"0.00%")</f>
        <v>83.44%</v>
      </c>
    </row>
    <row r="106" spans="1:5" x14ac:dyDescent="0.2">
      <c r="A106" s="51" t="s">
        <v>160</v>
      </c>
      <c r="B106" s="73">
        <f>B25</f>
        <v>5800000</v>
      </c>
      <c r="C106" s="73">
        <f>B25</f>
        <v>5800000</v>
      </c>
      <c r="D106" s="73">
        <f ca="1">B26</f>
        <v>6951274.8194591394</v>
      </c>
    </row>
    <row r="107" spans="1:5" x14ac:dyDescent="0.2">
      <c r="A107" s="51" t="s">
        <v>161</v>
      </c>
      <c r="B107" s="71" t="s">
        <v>162</v>
      </c>
      <c r="C107" s="71" t="s">
        <v>163</v>
      </c>
      <c r="D107" s="71" t="s">
        <v>163</v>
      </c>
    </row>
    <row r="108" spans="1:5" x14ac:dyDescent="0.2">
      <c r="A108" s="51" t="s">
        <v>164</v>
      </c>
      <c r="B108" s="74" t="s">
        <v>165</v>
      </c>
      <c r="C108" s="75" t="s">
        <v>166</v>
      </c>
      <c r="D108" s="76" t="s">
        <v>167</v>
      </c>
    </row>
  </sheetData>
  <mergeCells count="16">
    <mergeCell ref="A96:D96"/>
    <mergeCell ref="A101:E101"/>
    <mergeCell ref="A14:D14"/>
    <mergeCell ref="A24:D24"/>
    <mergeCell ref="A30:G30"/>
    <mergeCell ref="A32:G32"/>
    <mergeCell ref="E6:G6"/>
    <mergeCell ref="E7:G7"/>
    <mergeCell ref="E9:G9"/>
    <mergeCell ref="E10:G10"/>
    <mergeCell ref="A12:G12"/>
    <mergeCell ref="A1:G1"/>
    <mergeCell ref="A3:D3"/>
    <mergeCell ref="E3:G3"/>
    <mergeCell ref="E4:G4"/>
    <mergeCell ref="E5:G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Q1 Direct Lending</vt:lpstr>
      <vt:lpstr>Q2 Scenario &amp; D-Bond</vt:lpstr>
      <vt:lpstr>Q3 D-Bond Pricing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Nannapaneni, Aaryan</cp:lastModifiedBy>
  <cp:revision>0</cp:revision>
  <dcterms:created xsi:type="dcterms:W3CDTF">2026-04-29T21:30:29Z</dcterms:created>
  <dcterms:modified xsi:type="dcterms:W3CDTF">2026-04-30T13:10:33Z</dcterms:modified>
  <dc:language>en-US</dc:language>
</cp:coreProperties>
</file>